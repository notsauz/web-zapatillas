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DE96ECD3-F529-4E6D-874A-E8FFF83967B7}"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6" i="11" l="1"/>
  <c r="G7" i="11"/>
  <c r="G8" i="11"/>
  <c r="G12" i="11"/>
  <c r="G29" i="11"/>
  <c r="G41" i="11"/>
  <c r="D9" i="11" l="1"/>
  <c r="H5" i="11"/>
  <c r="I5" i="11" l="1"/>
  <c r="H6" i="11"/>
  <c r="H4" i="11"/>
  <c r="E9" i="11"/>
  <c r="D10" i="11" s="1"/>
  <c r="G9" i="11"/>
  <c r="E10" i="11" l="1"/>
  <c r="D11" i="11" s="1"/>
  <c r="G10" i="11"/>
  <c r="I6" i="11"/>
  <c r="J5" i="11"/>
  <c r="J6" i="11" l="1"/>
  <c r="K5" i="11"/>
  <c r="E11" i="11"/>
  <c r="D13" i="11" s="1"/>
  <c r="E13" i="11" l="1"/>
  <c r="D14" i="11" s="1"/>
  <c r="G11" i="11"/>
  <c r="K6" i="11"/>
  <c r="L5" i="11"/>
  <c r="L6" i="11" l="1"/>
  <c r="M5" i="11"/>
  <c r="E14" i="11"/>
  <c r="D15" i="11" s="1"/>
  <c r="G13" i="11"/>
  <c r="G14" i="11" l="1"/>
  <c r="E15" i="11"/>
  <c r="M6" i="11"/>
  <c r="N5" i="11"/>
  <c r="E16" i="11" l="1"/>
  <c r="D17" i="11" s="1"/>
  <c r="G16" i="11"/>
  <c r="O5" i="11"/>
  <c r="N6" i="11"/>
  <c r="G15" i="11"/>
  <c r="O4" i="11" l="1"/>
  <c r="P5" i="11"/>
  <c r="O6" i="11"/>
  <c r="E17" i="11"/>
  <c r="D18" i="11" s="1"/>
  <c r="G17" i="11" l="1"/>
  <c r="E18" i="11"/>
  <c r="D19" i="11" s="1"/>
  <c r="E19" i="11" s="1"/>
  <c r="D20" i="11" s="1"/>
  <c r="E20" i="11" s="1"/>
  <c r="D21" i="11" s="1"/>
  <c r="E21" i="11" s="1"/>
  <c r="D22" i="11" s="1"/>
  <c r="E22" i="11" s="1"/>
  <c r="D23" i="11" s="1"/>
  <c r="E23" i="11" s="1"/>
  <c r="D24" i="11" s="1"/>
  <c r="E24" i="11" s="1"/>
  <c r="D25" i="11" s="1"/>
  <c r="E25" i="11" s="1"/>
  <c r="D26" i="11" s="1"/>
  <c r="E26" i="11" s="1"/>
  <c r="D27" i="11" s="1"/>
  <c r="E27" i="11" s="1"/>
  <c r="D28" i="11" s="1"/>
  <c r="E28" i="11" s="1"/>
  <c r="D30" i="11" s="1"/>
  <c r="P6" i="11"/>
  <c r="Q5" i="11"/>
  <c r="D31" i="11" l="1"/>
  <c r="E30" i="11"/>
  <c r="G30" i="11"/>
  <c r="R5" i="11"/>
  <c r="Q6" i="11"/>
  <c r="G18" i="11"/>
  <c r="S5" i="11" l="1"/>
  <c r="R6" i="11"/>
  <c r="D32" i="11"/>
  <c r="E31" i="11"/>
  <c r="G31" i="11" s="1"/>
  <c r="D33" i="11" l="1"/>
  <c r="E32" i="11"/>
  <c r="G32" i="11"/>
  <c r="T5" i="11"/>
  <c r="S6" i="11"/>
  <c r="T6" i="11" l="1"/>
  <c r="U5" i="11"/>
  <c r="D34" i="11"/>
  <c r="E33" i="11"/>
  <c r="G33" i="11" s="1"/>
  <c r="E34" i="11" l="1"/>
  <c r="D35" i="11" s="1"/>
  <c r="G34" i="11"/>
  <c r="U6" i="11"/>
  <c r="V5" i="11"/>
  <c r="V6" i="11" l="1"/>
  <c r="W5" i="11"/>
  <c r="V4" i="11"/>
  <c r="D36" i="11"/>
  <c r="E35" i="11"/>
  <c r="D37" i="11" l="1"/>
  <c r="E36" i="11"/>
  <c r="W6" i="11"/>
  <c r="X5" i="11"/>
  <c r="Y5" i="11" l="1"/>
  <c r="X6" i="11"/>
  <c r="E37" i="11"/>
  <c r="D38" i="11"/>
  <c r="D39" i="11" l="1"/>
  <c r="E39" i="11" s="1"/>
  <c r="D40" i="11" s="1"/>
  <c r="E40" i="11" s="1"/>
  <c r="D42" i="11" s="1"/>
  <c r="E38" i="11"/>
  <c r="Y6" i="11"/>
  <c r="Z5" i="11"/>
  <c r="Z6" i="11" l="1"/>
  <c r="AA5" i="11"/>
  <c r="E42" i="11"/>
  <c r="D43" i="11" s="1"/>
  <c r="E43" i="11" l="1"/>
  <c r="D44" i="11" s="1"/>
  <c r="G42" i="11"/>
  <c r="AB5" i="11"/>
  <c r="AA6" i="11"/>
  <c r="AB6" i="11" l="1"/>
  <c r="AC5" i="11"/>
  <c r="E44" i="11"/>
  <c r="D45" i="11" s="1"/>
  <c r="G43" i="11"/>
  <c r="G44" i="11" l="1"/>
  <c r="E45" i="11"/>
  <c r="D47" i="11" s="1"/>
  <c r="E47" i="11" s="1"/>
  <c r="D48" i="11" s="1"/>
  <c r="E48" i="11" s="1"/>
  <c r="D49" i="11" s="1"/>
  <c r="E49" i="11" s="1"/>
  <c r="D50" i="11" s="1"/>
  <c r="AC6" i="11"/>
  <c r="AD5" i="11"/>
  <c r="AC4" i="11"/>
  <c r="AE5" i="11" l="1"/>
  <c r="AD6" i="11"/>
  <c r="E50" i="11"/>
  <c r="G50" i="11" s="1"/>
  <c r="G45"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 r="BE5" i="11"/>
  <c r="BE4" i="11" l="1"/>
  <c r="BE6" i="11"/>
  <c r="BF5" i="11"/>
  <c r="BF6" i="11" l="1"/>
  <c r="BG5" i="11"/>
  <c r="BH5" i="11" l="1"/>
  <c r="BG6" i="11"/>
  <c r="BH6" i="11" l="1"/>
  <c r="BI5" i="11"/>
  <c r="BI6" i="11" l="1"/>
  <c r="BJ5" i="11"/>
  <c r="BK5" i="11" l="1"/>
  <c r="BK6" i="11" s="1"/>
  <c r="BJ6" i="11"/>
</calcChain>
</file>

<file path=xl/sharedStrings.xml><?xml version="1.0" encoding="utf-8"?>
<sst xmlns="http://schemas.openxmlformats.org/spreadsheetml/2006/main" count="65" uniqueCount="63">
  <si>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</si>
  <si>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</si>
  <si>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</si>
  <si>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</si>
  <si>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</si>
  <si>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</si>
  <si>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</si>
  <si>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</si>
  <si>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</si>
  <si>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</si>
  <si>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</si>
  <si>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</si>
  <si>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</si>
  <si>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</si>
  <si>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</si>
  <si>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</si>
  <si>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</si>
  <si>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</si>
  <si>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</si>
  <si>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</si>
  <si>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</si>
  <si>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</si>
  <si>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</si>
  <si>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</si>
  <si>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</si>
  <si>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</si>
  <si>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</si>
  <si>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</si>
  <si>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</si>
  <si>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</si>
  <si>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</si>
  <si>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</si>
  <si>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</si>
  <si>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</si>
  <si>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</si>
  <si>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</si>
  <si>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</si>
  <si>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</si>
  <si>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</si>
  <si>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</si>
  <si>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</si>
  <si>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</si>
  <si>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</si>
  <si>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</si>
  <si>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Probar registro de usuario</t>
  </si>
  <si>
    <t>Probar inicio de sesión</t>
  </si>
  <si>
    <t>Probar edición de perfil</t>
  </si>
  <si>
    <t>Probar cierre de sesión</t>
  </si>
  <si>
    <t>Probar catálogo y búsqueda</t>
  </si>
  <si>
    <t>Probar filtros</t>
  </si>
  <si>
    <t>Probar detalle de producto</t>
  </si>
  <si>
    <t>Probar favoritos</t>
  </si>
  <si>
    <t>Probar cookies (productos visitados)</t>
  </si>
  <si>
    <t>Probar cambio de idioma</t>
  </si>
  <si>
    <t>DESPLIEGUE</t>
  </si>
  <si>
    <t>Comprar dominio y hosting</t>
  </si>
  <si>
    <t>Subir el código</t>
  </si>
  <si>
    <t>Configurar base de datos</t>
  </si>
  <si>
    <t>Probar que la web online funciona</t>
  </si>
  <si>
    <t>Documentación técnica</t>
  </si>
  <si>
    <t>Documentación de usuario</t>
  </si>
  <si>
    <t>Documentación de despliegue</t>
  </si>
  <si>
    <t>Entrega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</si>
</sst>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50"/>
  <sheetViews>
    <sheetView showGridLines="0" tabSelected="1" showRuler="0" zoomScale="85" zoomScaleNormal="85" zoomScalePageLayoutView="70" workbookViewId="0">
      <pane ySplit="6" topLeftCell="A7" activePane="bottomLeft" state="frozen"/>
      <selection pane="bottomLeft" activeCell="C13" sqref="C13"/>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8">
        <v>46113</v>
      </c>
      <c r="E3" s="68"/>
    </row>
    <row r="4" spans="1:63" ht="30" customHeight="1" x14ac:dyDescent="0.25">
      <c r="A4" s="26" t="s">
        <v>5</v>
      </c>
      <c r="C4" s="52"/>
      <c r="D4" s="5">
        <v>1</v>
      </c>
      <c r="H4" s="65">
        <f>H5</f>
        <v>46111</v>
      </c>
      <c r="I4" s="66"/>
      <c r="J4" s="66"/>
      <c r="K4" s="66"/>
      <c r="L4" s="66"/>
      <c r="M4" s="66"/>
      <c r="N4" s="67"/>
      <c r="O4" s="65">
        <f>O5</f>
        <v>46118</v>
      </c>
      <c r="P4" s="66"/>
      <c r="Q4" s="66"/>
      <c r="R4" s="66"/>
      <c r="S4" s="66"/>
      <c r="T4" s="66"/>
      <c r="U4" s="67"/>
      <c r="V4" s="65">
        <f>V5</f>
        <v>46125</v>
      </c>
      <c r="W4" s="66"/>
      <c r="X4" s="66"/>
      <c r="Y4" s="66"/>
      <c r="Z4" s="66"/>
      <c r="AA4" s="66"/>
      <c r="AB4" s="67"/>
      <c r="AC4" s="65">
        <f>AC5</f>
        <v>46132</v>
      </c>
      <c r="AD4" s="66"/>
      <c r="AE4" s="66"/>
      <c r="AF4" s="66"/>
      <c r="AG4" s="66"/>
      <c r="AH4" s="66"/>
      <c r="AI4" s="67"/>
      <c r="AJ4" s="65">
        <f>AJ5</f>
        <v>46139</v>
      </c>
      <c r="AK4" s="66"/>
      <c r="AL4" s="66"/>
      <c r="AM4" s="66"/>
      <c r="AN4" s="66"/>
      <c r="AO4" s="66"/>
      <c r="AP4" s="67"/>
      <c r="AQ4" s="65">
        <f>AQ5</f>
        <v>46146</v>
      </c>
      <c r="AR4" s="66"/>
      <c r="AS4" s="66"/>
      <c r="AT4" s="66"/>
      <c r="AU4" s="66"/>
      <c r="AV4" s="66"/>
      <c r="AW4" s="67"/>
      <c r="AX4" s="65">
        <f>AX5</f>
        <v>46153</v>
      </c>
      <c r="AY4" s="66"/>
      <c r="AZ4" s="66"/>
      <c r="BA4" s="66"/>
      <c r="BB4" s="66"/>
      <c r="BC4" s="66"/>
      <c r="BD4" s="67"/>
      <c r="BE4" s="65">
        <f>BE5</f>
        <v>46160</v>
      </c>
      <c r="BF4" s="66"/>
      <c r="BG4" s="66"/>
      <c r="BH4" s="66"/>
      <c r="BI4" s="66"/>
      <c r="BJ4" s="66"/>
      <c r="BK4" s="67"/>
    </row>
    <row r="5" spans="1:63"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c r="BE5" s="49">
        <f>BD5+1</f>
        <v>46160</v>
      </c>
      <c r="BF5" s="50">
        <f>BE5+1</f>
        <v>46161</v>
      </c>
      <c r="BG5" s="50">
        <f t="shared" ref="BG5:BK5" si="2">BF5+1</f>
        <v>46162</v>
      </c>
      <c r="BH5" s="50">
        <f t="shared" si="2"/>
        <v>46163</v>
      </c>
      <c r="BI5" s="50">
        <f t="shared" si="2"/>
        <v>46164</v>
      </c>
      <c r="BJ5" s="50">
        <f t="shared" si="2"/>
        <v>46165</v>
      </c>
      <c r="BK5" s="51">
        <f t="shared" si="2"/>
        <v>46166</v>
      </c>
    </row>
    <row r="6" spans="1:63" ht="30" customHeight="1" thickBot="1" x14ac:dyDescent="0.3">
      <c r="A6" s="26" t="s">
        <v>7</v>
      </c>
      <c r="B6" s="6" t="s">
        <v>8</v>
      </c>
      <c r="C6" s="7" t="s">
        <v>9</v>
      </c>
      <c r="D6" s="7" t="s">
        <v>10</v>
      </c>
      <c r="E6" s="7" t="s">
        <v>11</v>
      </c>
      <c r="F6" s="7"/>
      <c r="G6" s="7" t="s">
        <v>12</v>
      </c>
      <c r="H6" s="8" t="str">
        <f t="shared" ref="H6" si="3">LEFT(TEXT(H5,"ddd"),1)</f>
        <v>l</v>
      </c>
      <c r="I6" s="8" t="str">
        <f t="shared" ref="I6:AQ6" si="4">LEFT(TEXT(I5,"ddd"),1)</f>
        <v>m</v>
      </c>
      <c r="J6" s="8" t="str">
        <f t="shared" si="4"/>
        <v>m</v>
      </c>
      <c r="K6" s="8" t="str">
        <f t="shared" si="4"/>
        <v>j</v>
      </c>
      <c r="L6" s="8" t="str">
        <f t="shared" si="4"/>
        <v>v</v>
      </c>
      <c r="M6" s="8" t="str">
        <f t="shared" si="4"/>
        <v>s</v>
      </c>
      <c r="N6" s="8" t="str">
        <f t="shared" si="4"/>
        <v>d</v>
      </c>
      <c r="O6" s="8" t="str">
        <f t="shared" si="4"/>
        <v>l</v>
      </c>
      <c r="P6" s="8" t="str">
        <f t="shared" si="4"/>
        <v>m</v>
      </c>
      <c r="Q6" s="8" t="str">
        <f t="shared" si="4"/>
        <v>m</v>
      </c>
      <c r="R6" s="8" t="str">
        <f t="shared" si="4"/>
        <v>j</v>
      </c>
      <c r="S6" s="8" t="str">
        <f t="shared" si="4"/>
        <v>v</v>
      </c>
      <c r="T6" s="8" t="str">
        <f t="shared" si="4"/>
        <v>s</v>
      </c>
      <c r="U6" s="8" t="str">
        <f t="shared" si="4"/>
        <v>d</v>
      </c>
      <c r="V6" s="8" t="str">
        <f t="shared" si="4"/>
        <v>l</v>
      </c>
      <c r="W6" s="8" t="str">
        <f t="shared" si="4"/>
        <v>m</v>
      </c>
      <c r="X6" s="8" t="str">
        <f t="shared" si="4"/>
        <v>m</v>
      </c>
      <c r="Y6" s="8" t="str">
        <f t="shared" si="4"/>
        <v>j</v>
      </c>
      <c r="Z6" s="8" t="str">
        <f t="shared" si="4"/>
        <v>v</v>
      </c>
      <c r="AA6" s="8" t="str">
        <f t="shared" si="4"/>
        <v>s</v>
      </c>
      <c r="AB6" s="8" t="str">
        <f t="shared" si="4"/>
        <v>d</v>
      </c>
      <c r="AC6" s="8" t="str">
        <f>LEFT(TEXT(AC5,"ddd"),1)</f>
        <v>l</v>
      </c>
      <c r="AD6" s="8" t="str">
        <f t="shared" si="4"/>
        <v>m</v>
      </c>
      <c r="AE6" s="8" t="str">
        <f t="shared" si="4"/>
        <v>m</v>
      </c>
      <c r="AF6" s="8" t="str">
        <f t="shared" si="4"/>
        <v>j</v>
      </c>
      <c r="AG6" s="8" t="str">
        <f t="shared" si="4"/>
        <v>v</v>
      </c>
      <c r="AH6" s="8" t="str">
        <f t="shared" si="4"/>
        <v>s</v>
      </c>
      <c r="AI6" s="8" t="str">
        <f t="shared" si="4"/>
        <v>d</v>
      </c>
      <c r="AJ6" s="8" t="str">
        <f t="shared" si="4"/>
        <v>l</v>
      </c>
      <c r="AK6" s="8" t="str">
        <f t="shared" si="4"/>
        <v>m</v>
      </c>
      <c r="AL6" s="8" t="str">
        <f t="shared" si="4"/>
        <v>m</v>
      </c>
      <c r="AM6" s="8" t="str">
        <f t="shared" si="4"/>
        <v>j</v>
      </c>
      <c r="AN6" s="8" t="str">
        <f t="shared" si="4"/>
        <v>v</v>
      </c>
      <c r="AO6" s="8" t="str">
        <f t="shared" si="4"/>
        <v>s</v>
      </c>
      <c r="AP6" s="8" t="str">
        <f t="shared" si="4"/>
        <v>d</v>
      </c>
      <c r="AQ6" s="8" t="str">
        <f t="shared" si="4"/>
        <v>l</v>
      </c>
      <c r="AR6" s="8" t="str">
        <f t="shared" ref="AR6:BK6" si="5">LEFT(TEXT(AR5,"ddd"),1)</f>
        <v>m</v>
      </c>
      <c r="AS6" s="8" t="str">
        <f t="shared" si="5"/>
        <v>m</v>
      </c>
      <c r="AT6" s="8" t="str">
        <f t="shared" si="5"/>
        <v>j</v>
      </c>
      <c r="AU6" s="8" t="str">
        <f t="shared" si="5"/>
        <v>v</v>
      </c>
      <c r="AV6" s="8" t="str">
        <f t="shared" si="5"/>
        <v>s</v>
      </c>
      <c r="AW6" s="8" t="str">
        <f t="shared" si="5"/>
        <v>d</v>
      </c>
      <c r="AX6" s="8" t="str">
        <f t="shared" si="5"/>
        <v>l</v>
      </c>
      <c r="AY6" s="8" t="str">
        <f t="shared" si="5"/>
        <v>m</v>
      </c>
      <c r="AZ6" s="8" t="str">
        <f t="shared" si="5"/>
        <v>m</v>
      </c>
      <c r="BA6" s="8" t="str">
        <f t="shared" si="5"/>
        <v>j</v>
      </c>
      <c r="BB6" s="8" t="str">
        <f t="shared" si="5"/>
        <v>v</v>
      </c>
      <c r="BC6" s="8" t="str">
        <f t="shared" si="5"/>
        <v>s</v>
      </c>
      <c r="BD6" s="8" t="str">
        <f t="shared" si="5"/>
        <v>d</v>
      </c>
      <c r="BE6" s="8" t="str">
        <f t="shared" si="5"/>
        <v>l</v>
      </c>
      <c r="BF6" s="8" t="str">
        <f t="shared" si="5"/>
        <v>m</v>
      </c>
      <c r="BG6" s="8" t="str">
        <f t="shared" si="5"/>
        <v>m</v>
      </c>
      <c r="BH6" s="8" t="str">
        <f t="shared" si="5"/>
        <v>j</v>
      </c>
      <c r="BI6" s="8" t="str">
        <f t="shared" si="5"/>
        <v>v</v>
      </c>
      <c r="BJ6" s="8" t="str">
        <f t="shared" si="5"/>
        <v>s</v>
      </c>
      <c r="BK6" s="8" t="str">
        <f t="shared"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50"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4"/>
      <c r="BF8" s="22"/>
      <c r="BG8" s="22"/>
      <c r="BH8" s="22"/>
      <c r="BI8" s="22"/>
      <c r="BJ8" s="22"/>
      <c r="BK8" s="22"/>
    </row>
    <row r="9" spans="1:63" s="2" customFormat="1" ht="30" customHeight="1" thickBot="1" x14ac:dyDescent="0.3">
      <c r="A9" s="26" t="s">
        <v>15</v>
      </c>
      <c r="B9" s="30" t="s">
        <v>23</v>
      </c>
      <c r="C9" s="12">
        <v>1</v>
      </c>
      <c r="D9" s="39">
        <f>Inicio_del_proyecto</f>
        <v>46113</v>
      </c>
      <c r="E9" s="39">
        <f>D9</f>
        <v>46113</v>
      </c>
      <c r="F9" s="9"/>
      <c r="G9" s="9">
        <f t="shared"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E9</f>
        <v>46113</v>
      </c>
      <c r="E10" s="39">
        <f>D10</f>
        <v>46113</v>
      </c>
      <c r="F10" s="9"/>
      <c r="G10" s="9">
        <f t="shared"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0.9</v>
      </c>
      <c r="D11" s="39">
        <f>E10+1</f>
        <v>46114</v>
      </c>
      <c r="E11" s="39">
        <f>D11</f>
        <v>46114</v>
      </c>
      <c r="F11" s="9"/>
      <c r="G11" s="9">
        <f t="shared"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1</v>
      </c>
      <c r="D13" s="42">
        <f>E11+1</f>
        <v>46115</v>
      </c>
      <c r="E13" s="42">
        <f>D13+1</f>
        <v>46116</v>
      </c>
      <c r="F13" s="9"/>
      <c r="G13" s="9">
        <f t="shared"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1</v>
      </c>
      <c r="D14" s="42">
        <f t="shared" ref="D14:D28" si="7">E13+1</f>
        <v>46117</v>
      </c>
      <c r="E14" s="42">
        <f>D14+1</f>
        <v>46118</v>
      </c>
      <c r="F14" s="9"/>
      <c r="G14" s="9">
        <f t="shared"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1</v>
      </c>
      <c r="D15" s="42">
        <f t="shared" si="7"/>
        <v>46119</v>
      </c>
      <c r="E15" s="42">
        <f>D15</f>
        <v>46119</v>
      </c>
      <c r="F15" s="9"/>
      <c r="G15" s="9">
        <f t="shared"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30</v>
      </c>
      <c r="C16" s="15">
        <v>1</v>
      </c>
      <c r="D16" s="42">
        <f>E15</f>
        <v>46119</v>
      </c>
      <c r="E16" s="42">
        <f>D16</f>
        <v>46119</v>
      </c>
      <c r="F16" s="9"/>
      <c r="G16" s="9">
        <f t="shared"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29</v>
      </c>
      <c r="C17" s="15"/>
      <c r="D17" s="42">
        <f t="shared" si="7"/>
        <v>46120</v>
      </c>
      <c r="E17" s="42">
        <f>D17</f>
        <v>46120</v>
      </c>
      <c r="F17" s="9"/>
      <c r="G17" s="9">
        <f t="shared"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31</v>
      </c>
      <c r="C18" s="15"/>
      <c r="D18" s="42">
        <f t="shared" si="7"/>
        <v>46121</v>
      </c>
      <c r="E18" s="42">
        <f>D18+2</f>
        <v>46123</v>
      </c>
      <c r="F18" s="9"/>
      <c r="G18" s="9">
        <f t="shared" si="6"/>
        <v>3</v>
      </c>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33</v>
      </c>
      <c r="C19" s="15"/>
      <c r="D19" s="42">
        <f t="shared" si="7"/>
        <v>46124</v>
      </c>
      <c r="E19" s="42">
        <f>D19+2</f>
        <v>46126</v>
      </c>
      <c r="F19" s="9"/>
      <c r="G19" s="9"/>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34</v>
      </c>
      <c r="C20" s="15"/>
      <c r="D20" s="42">
        <f t="shared" si="7"/>
        <v>46127</v>
      </c>
      <c r="E20" s="42">
        <f>D20+1</f>
        <v>46128</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35</v>
      </c>
      <c r="C21" s="15"/>
      <c r="D21" s="42">
        <f t="shared" si="7"/>
        <v>46129</v>
      </c>
      <c r="E21" s="42">
        <f>D21+1</f>
        <v>46130</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36</v>
      </c>
      <c r="C22" s="15"/>
      <c r="D22" s="42">
        <f t="shared" si="7"/>
        <v>46131</v>
      </c>
      <c r="E22" s="42">
        <f>D22</f>
        <v>46131</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37</v>
      </c>
      <c r="C23" s="15"/>
      <c r="D23" s="42">
        <f t="shared" si="7"/>
        <v>46132</v>
      </c>
      <c r="E23" s="42">
        <f>D23+2</f>
        <v>46134</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38</v>
      </c>
      <c r="C24" s="15"/>
      <c r="D24" s="42">
        <f t="shared" si="7"/>
        <v>46135</v>
      </c>
      <c r="E24" s="42">
        <f>D24+1</f>
        <v>46136</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39</v>
      </c>
      <c r="C25" s="15"/>
      <c r="D25" s="42">
        <f t="shared" si="7"/>
        <v>46137</v>
      </c>
      <c r="E25" s="42">
        <f>D25+1</f>
        <v>46138</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40</v>
      </c>
      <c r="C26" s="15"/>
      <c r="D26" s="42">
        <f t="shared" si="7"/>
        <v>46139</v>
      </c>
      <c r="E26" s="42">
        <f>D26+1</f>
        <v>46140</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41</v>
      </c>
      <c r="C27" s="15"/>
      <c r="D27" s="42">
        <f t="shared" si="7"/>
        <v>46141</v>
      </c>
      <c r="E27" s="42">
        <f>D27+2</f>
        <v>46143</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42</v>
      </c>
      <c r="C28" s="15"/>
      <c r="D28" s="42">
        <f t="shared" si="7"/>
        <v>46144</v>
      </c>
      <c r="E28" s="42">
        <f>D28+2</f>
        <v>46146</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t="s">
        <v>18</v>
      </c>
      <c r="B29" s="16" t="s">
        <v>21</v>
      </c>
      <c r="C29" s="17"/>
      <c r="D29" s="43"/>
      <c r="E29" s="44"/>
      <c r="F29" s="9"/>
      <c r="G29" s="9" t="str">
        <f t="shared" si="6"/>
        <v/>
      </c>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c r="B30" s="32" t="s">
        <v>43</v>
      </c>
      <c r="C30" s="18"/>
      <c r="D30" s="45">
        <f>E28+1</f>
        <v>46147</v>
      </c>
      <c r="E30" s="45">
        <f t="shared" ref="E30:E40" si="8">D30+1</f>
        <v>46148</v>
      </c>
      <c r="F30" s="9"/>
      <c r="G30" s="9">
        <f t="shared" si="6"/>
        <v>2</v>
      </c>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c r="B31" s="32" t="s">
        <v>44</v>
      </c>
      <c r="C31" s="18"/>
      <c r="D31" s="45">
        <f>D30</f>
        <v>46147</v>
      </c>
      <c r="E31" s="45">
        <f t="shared" si="8"/>
        <v>46148</v>
      </c>
      <c r="F31" s="9"/>
      <c r="G31" s="9">
        <f t="shared" si="6"/>
        <v>2</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c r="B32" s="32" t="s">
        <v>45</v>
      </c>
      <c r="C32" s="18"/>
      <c r="D32" s="45">
        <f>D31</f>
        <v>46147</v>
      </c>
      <c r="E32" s="45">
        <f t="shared" si="8"/>
        <v>46148</v>
      </c>
      <c r="F32" s="9"/>
      <c r="G32" s="9">
        <f t="shared" si="6"/>
        <v>2</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c r="B33" s="32" t="s">
        <v>46</v>
      </c>
      <c r="C33" s="18"/>
      <c r="D33" s="45">
        <f>D32</f>
        <v>46147</v>
      </c>
      <c r="E33" s="45">
        <f t="shared" si="8"/>
        <v>46148</v>
      </c>
      <c r="F33" s="9"/>
      <c r="G33" s="9">
        <f t="shared" si="6"/>
        <v>2</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2" t="s">
        <v>47</v>
      </c>
      <c r="C34" s="18"/>
      <c r="D34" s="45">
        <f>D33</f>
        <v>46147</v>
      </c>
      <c r="E34" s="45">
        <f t="shared" si="8"/>
        <v>46148</v>
      </c>
      <c r="F34" s="9"/>
      <c r="G34" s="9">
        <f t="shared" si="6"/>
        <v>2</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2" t="s">
        <v>48</v>
      </c>
      <c r="C35" s="18"/>
      <c r="D35" s="45">
        <f>E34+1</f>
        <v>46149</v>
      </c>
      <c r="E35" s="45">
        <f t="shared" si="8"/>
        <v>46150</v>
      </c>
      <c r="F35" s="9"/>
      <c r="G35" s="9"/>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32" t="s">
        <v>49</v>
      </c>
      <c r="C36" s="18"/>
      <c r="D36" s="45">
        <f>D35</f>
        <v>46149</v>
      </c>
      <c r="E36" s="45">
        <f t="shared" si="8"/>
        <v>46150</v>
      </c>
      <c r="F36" s="9"/>
      <c r="G36" s="9"/>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32" t="s">
        <v>50</v>
      </c>
      <c r="C37" s="18"/>
      <c r="D37" s="45">
        <f>D36</f>
        <v>46149</v>
      </c>
      <c r="E37" s="45">
        <f t="shared" si="8"/>
        <v>46150</v>
      </c>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32" t="s">
        <v>51</v>
      </c>
      <c r="C38" s="18"/>
      <c r="D38" s="45">
        <f>D37</f>
        <v>46149</v>
      </c>
      <c r="E38" s="45">
        <f t="shared" si="8"/>
        <v>46150</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32" t="s">
        <v>52</v>
      </c>
      <c r="C39" s="18"/>
      <c r="D39" s="45">
        <f>D38</f>
        <v>46149</v>
      </c>
      <c r="E39" s="45">
        <f t="shared" si="8"/>
        <v>46150</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c r="B40" s="32" t="s">
        <v>53</v>
      </c>
      <c r="C40" s="18"/>
      <c r="D40" s="45">
        <f>E39+1</f>
        <v>46151</v>
      </c>
      <c r="E40" s="45">
        <f t="shared" si="8"/>
        <v>46152</v>
      </c>
      <c r="F40" s="9"/>
      <c r="G40" s="9"/>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row r="41" spans="1:63" s="2" customFormat="1" ht="30" customHeight="1" thickBot="1" x14ac:dyDescent="0.3">
      <c r="A41" s="25" t="s">
        <v>18</v>
      </c>
      <c r="B41" s="19" t="s">
        <v>54</v>
      </c>
      <c r="C41" s="20"/>
      <c r="D41" s="46"/>
      <c r="E41" s="47"/>
      <c r="F41" s="9"/>
      <c r="G41" s="9" t="str">
        <f t="shared" si="6"/>
        <v/>
      </c>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row>
    <row r="42" spans="1:63" s="2" customFormat="1" ht="30" customHeight="1" thickBot="1" x14ac:dyDescent="0.3">
      <c r="A42" s="25"/>
      <c r="B42" s="33" t="s">
        <v>55</v>
      </c>
      <c r="C42" s="21"/>
      <c r="D42" s="48">
        <f>E40+1</f>
        <v>46153</v>
      </c>
      <c r="E42" s="48">
        <f>D42</f>
        <v>46153</v>
      </c>
      <c r="F42" s="9"/>
      <c r="G42" s="9">
        <f t="shared" si="6"/>
        <v>1</v>
      </c>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row>
    <row r="43" spans="1:63" s="2" customFormat="1" ht="30" customHeight="1" thickBot="1" x14ac:dyDescent="0.3">
      <c r="A43" s="25"/>
      <c r="B43" s="33" t="s">
        <v>56</v>
      </c>
      <c r="C43" s="21"/>
      <c r="D43" s="48">
        <f>E42+1</f>
        <v>46154</v>
      </c>
      <c r="E43" s="48">
        <f>D43+1</f>
        <v>46155</v>
      </c>
      <c r="F43" s="9"/>
      <c r="G43" s="9">
        <f t="shared" si="6"/>
        <v>2</v>
      </c>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row>
    <row r="44" spans="1:63" s="2" customFormat="1" ht="30" customHeight="1" thickBot="1" x14ac:dyDescent="0.3">
      <c r="A44" s="25"/>
      <c r="B44" s="33" t="s">
        <v>57</v>
      </c>
      <c r="C44" s="21"/>
      <c r="D44" s="48">
        <f>E43+1</f>
        <v>46156</v>
      </c>
      <c r="E44" s="48">
        <f>D44+1</f>
        <v>46157</v>
      </c>
      <c r="F44" s="9"/>
      <c r="G44" s="9">
        <f t="shared" si="6"/>
        <v>2</v>
      </c>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row>
    <row r="45" spans="1:63" s="2" customFormat="1" ht="30" customHeight="1" thickBot="1" x14ac:dyDescent="0.3">
      <c r="A45" s="25"/>
      <c r="B45" s="33" t="s">
        <v>58</v>
      </c>
      <c r="C45" s="21"/>
      <c r="D45" s="48">
        <f>E44+1</f>
        <v>46158</v>
      </c>
      <c r="E45" s="48">
        <f>D45+1</f>
        <v>46159</v>
      </c>
      <c r="F45" s="9"/>
      <c r="G45" s="9">
        <f t="shared" si="6"/>
        <v>2</v>
      </c>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row>
    <row r="46" spans="1:63" s="2" customFormat="1" ht="30" customHeight="1" thickBot="1" x14ac:dyDescent="0.3">
      <c r="A46" s="25"/>
      <c r="B46" s="57" t="s">
        <v>22</v>
      </c>
      <c r="C46" s="58"/>
      <c r="D46" s="59"/>
      <c r="E46" s="60"/>
      <c r="F46" s="9"/>
      <c r="G46" s="9"/>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row>
    <row r="47" spans="1:63" s="2" customFormat="1" ht="30" customHeight="1" thickBot="1" x14ac:dyDescent="0.3">
      <c r="A47" s="25"/>
      <c r="B47" s="62" t="s">
        <v>59</v>
      </c>
      <c r="C47" s="61"/>
      <c r="D47" s="63">
        <f>E45+1</f>
        <v>46160</v>
      </c>
      <c r="E47" s="63">
        <f>D47+1</f>
        <v>46161</v>
      </c>
      <c r="F47" s="9"/>
      <c r="G47" s="9"/>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row>
    <row r="48" spans="1:63" s="2" customFormat="1" ht="30" customHeight="1" thickBot="1" x14ac:dyDescent="0.3">
      <c r="A48" s="25"/>
      <c r="B48" s="62" t="s">
        <v>60</v>
      </c>
      <c r="C48" s="61"/>
      <c r="D48" s="63">
        <f>E47+1</f>
        <v>46162</v>
      </c>
      <c r="E48" s="63">
        <f>D48+1</f>
        <v>46163</v>
      </c>
      <c r="F48" s="9"/>
      <c r="G48" s="9"/>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row>
    <row r="49" spans="1:63" s="2" customFormat="1" ht="30" customHeight="1" thickBot="1" x14ac:dyDescent="0.3">
      <c r="A49" s="25"/>
      <c r="B49" s="62" t="s">
        <v>61</v>
      </c>
      <c r="C49" s="61"/>
      <c r="D49" s="63">
        <f>E48+1</f>
        <v>46164</v>
      </c>
      <c r="E49" s="63">
        <f>D49+1</f>
        <v>46165</v>
      </c>
      <c r="F49" s="9"/>
      <c r="G49" s="9"/>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row>
    <row r="50" spans="1:63" s="2" customFormat="1" ht="30" customHeight="1" thickBot="1" x14ac:dyDescent="0.3">
      <c r="A50" s="25" t="s">
        <v>18</v>
      </c>
      <c r="B50" s="62" t="s">
        <v>62</v>
      </c>
      <c r="C50" s="61"/>
      <c r="D50" s="63">
        <f>E49+1</f>
        <v>46166</v>
      </c>
      <c r="E50" s="63">
        <f>D50+3</f>
        <v>46169</v>
      </c>
      <c r="F50" s="9"/>
      <c r="G50" s="9">
        <f t="shared" si="6"/>
        <v>4</v>
      </c>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row>
  </sheetData>
  <mergeCells count="9">
    <mergeCell ref="BE4:BK4"/>
    <mergeCell ref="D3:E3"/>
    <mergeCell ref="H4:N4"/>
    <mergeCell ref="O4:U4"/>
    <mergeCell ref="V4:AB4"/>
    <mergeCell ref="AC4:AI4"/>
    <mergeCell ref="AJ4:AP4"/>
    <mergeCell ref="AQ4:AW4"/>
    <mergeCell ref="AX4:BD4"/>
  </mergeCells>
  <conditionalFormatting sqref="C29:C34 C41:C42 C7:C17">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29:BK49 H5:BK10 H13:BK17 H12:L12 N12:BK12 H11:M11 O11:BK11">
    <cfRule type="expression" dxfId="11" priority="62">
      <formula>AND(TODAY()&gt;=H$5,TODAY()&lt;I$5)</formula>
    </cfRule>
  </conditionalFormatting>
  <conditionalFormatting sqref="H29:BK49 H7:BK10 H13:BK17 H12:L12 N12:BK12 H11:M11 O11:BK11">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8:C19">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8:BK28">
    <cfRule type="expression" dxfId="8" priority="29">
      <formula>AND(TODAY()&gt;=H$5,TODAY()&lt;I$5)</formula>
    </cfRule>
  </conditionalFormatting>
  <conditionalFormatting sqref="H18:BK28">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0">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1">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2">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3">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4">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5">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6">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7">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28">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16">
      <dataBar>
        <cfvo type="num" val="0"/>
        <cfvo type="num" val="1"/>
        <color theme="0" tint="-0.249977111117893"/>
      </dataBar>
      <extLst>
        <ext xmlns:x14="http://schemas.microsoft.com/office/spreadsheetml/2009/9/main" uri="{B025F937-C7B1-47D3-B67F-A62EFF666E3E}">
          <x14:id>{2237825B-D0F2-438A-BF7C-77EFBA2A9A82}</x14:id>
        </ext>
      </extLst>
    </cfRule>
  </conditionalFormatting>
  <conditionalFormatting sqref="C36">
    <cfRule type="dataBar" priority="15">
      <dataBar>
        <cfvo type="num" val="0"/>
        <cfvo type="num" val="1"/>
        <color theme="0" tint="-0.249977111117893"/>
      </dataBar>
      <extLst>
        <ext xmlns:x14="http://schemas.microsoft.com/office/spreadsheetml/2009/9/main" uri="{B025F937-C7B1-47D3-B67F-A62EFF666E3E}">
          <x14:id>{7B2890CC-5659-484F-A743-A4B694B8417F}</x14:id>
        </ext>
      </extLst>
    </cfRule>
  </conditionalFormatting>
  <conditionalFormatting sqref="C37:C40">
    <cfRule type="dataBar" priority="14">
      <dataBar>
        <cfvo type="num" val="0"/>
        <cfvo type="num" val="1"/>
        <color theme="0" tint="-0.249977111117893"/>
      </dataBar>
      <extLst>
        <ext xmlns:x14="http://schemas.microsoft.com/office/spreadsheetml/2009/9/main" uri="{B025F937-C7B1-47D3-B67F-A62EFF666E3E}">
          <x14:id>{6244F2E6-B093-4685-8806-B6474AF5362C}</x14:id>
        </ext>
      </extLst>
    </cfRule>
  </conditionalFormatting>
  <conditionalFormatting sqref="C43">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44">
    <cfRule type="dataBar" priority="8">
      <dataBar>
        <cfvo type="num" val="0"/>
        <cfvo type="num" val="1"/>
        <color theme="0" tint="-0.249977111117893"/>
      </dataBar>
      <extLst>
        <ext xmlns:x14="http://schemas.microsoft.com/office/spreadsheetml/2009/9/main" uri="{B025F937-C7B1-47D3-B67F-A62EFF666E3E}">
          <x14:id>{0BE3D0F7-4E26-437D-86CD-24DBEBD62166}</x14:id>
        </ext>
      </extLst>
    </cfRule>
  </conditionalFormatting>
  <conditionalFormatting sqref="C45">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50">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50:BK50">
    <cfRule type="expression" dxfId="5" priority="6">
      <formula>AND(TODAY()&gt;=H$5,TODAY()&lt;I$5)</formula>
    </cfRule>
  </conditionalFormatting>
  <conditionalFormatting sqref="H50:BK50">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46">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47:C49">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C29:C34 C41:C42 C7:C17</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C18:C19</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C20</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C26</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C27</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2237825B-D0F2-438A-BF7C-77EFBA2A9A82}">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7B2890CC-5659-484F-A743-A4B694B8417F}">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6244F2E6-B093-4685-8806-B6474AF5362C}">
            <x14:dataBar minLength="0" maxLength="100" gradient="0">
              <x14:cfvo type="num">
                <xm:f>0</xm:f>
              </x14:cfvo>
              <x14:cfvo type="num">
                <xm:f>1</xm:f>
              </x14:cfvo>
              <x14:negativeFillColor rgb="FFFF0000"/>
              <x14:axisColor rgb="FF000000"/>
            </x14:dataBar>
          </x14:cfRule>
          <xm:sqref>C37:C40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C43</xm:sqref>
        </x14:conditionalFormatting>
        <x14:conditionalFormatting xmlns:xm="http://schemas.microsoft.com/office/excel/2006/main">
          <x14:cfRule type="dataBar" id="{0BE3D0F7-4E26-437D-86CD-24DBEBD62166}">
            <x14:dataBar minLength="0" maxLength="100" gradient="0">
              <x14:cfvo type="num">
                <xm:f>0</xm:f>
              </x14:cfvo>
              <x14:cfvo type="num">
                <xm:f>1</xm:f>
              </x14:cfvo>
              <x14:negativeFillColor rgb="FFFF0000"/>
              <x14:axisColor rgb="FF000000"/>
            </x14:dataBar>
          </x14:cfRule>
          <xm:sqref>C44</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C45</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C50</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C46</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C47:C49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2026-04-03T20:28:22Z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