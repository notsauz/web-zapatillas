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49D02353-0A08-46CE-9663-6F0A41872B58}"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7" i="11" l="1"/>
  <c r="E27" i="11"/>
  <c r="D28" i="11"/>
  <c r="G7" i="11"/>
  <c r="G8" i="11"/>
  <c r="G12" i="11"/>
  <c r="G31" i="11"/>
  <c r="G33" i="11"/>
  <c r="D9" i="11" l="1"/>
  <c r="H5" i="11"/>
  <c r="I5" i="11" l="1"/>
  <c r="H6" i="11"/>
  <c r="H4" i="11"/>
  <c r="E9" i="11"/>
  <c r="D10" i="11" s="1"/>
  <c r="G9" i="11" l="1"/>
  <c r="E10" i="11"/>
  <c r="D11" i="11" s="1"/>
  <c r="I6" i="11"/>
  <c r="J5" i="11"/>
  <c r="G10" i="11" l="1"/>
  <c r="J6" i="11"/>
  <c r="K5" i="11"/>
  <c r="E11" i="11"/>
  <c r="D13" i="11" s="1"/>
  <c r="E13" i="11" l="1"/>
  <c r="D14" i="11" s="1"/>
  <c r="G11" i="11"/>
  <c r="K6" i="11"/>
  <c r="L5" i="11"/>
  <c r="L6" i="11" l="1"/>
  <c r="M5" i="11"/>
  <c r="E14" i="11"/>
  <c r="D15" i="11" s="1"/>
  <c r="G13" i="11"/>
  <c r="G14" i="11" l="1"/>
  <c r="E15" i="11"/>
  <c r="D16" i="11" s="1"/>
  <c r="M6" i="11"/>
  <c r="N5" i="11"/>
  <c r="E16" i="11" l="1"/>
  <c r="D17" i="11" s="1"/>
  <c r="G16" i="11"/>
  <c r="O5" i="11"/>
  <c r="N6" i="11"/>
  <c r="G15" i="11"/>
  <c r="O4" i="11" l="1"/>
  <c r="P5" i="11"/>
  <c r="O6" i="11"/>
  <c r="E17" i="11"/>
  <c r="D18" i="11" l="1"/>
  <c r="E18" i="11" s="1"/>
  <c r="D19" i="11"/>
  <c r="G17" i="11"/>
  <c r="E19" i="11"/>
  <c r="D20" i="11" s="1"/>
  <c r="P6" i="11"/>
  <c r="Q5" i="11"/>
  <c r="E20" i="11" l="1"/>
  <c r="D21" i="11" s="1"/>
  <c r="E21" i="11" s="1"/>
  <c r="D22" i="11" s="1"/>
  <c r="E22" i="11" s="1"/>
  <c r="D23" i="11" s="1"/>
  <c r="R5" i="11"/>
  <c r="Q6" i="11"/>
  <c r="G19" i="11"/>
  <c r="E23" i="11" l="1"/>
  <c r="D24" i="11" s="1"/>
  <c r="E24" i="11" s="1"/>
  <c r="S5" i="11"/>
  <c r="R6" i="11"/>
  <c r="D25" i="11" l="1"/>
  <c r="E25" i="11" s="1"/>
  <c r="D26" i="11" s="1"/>
  <c r="E26" i="11" s="1"/>
  <c r="E28" i="11" s="1"/>
  <c r="D29" i="11" s="1"/>
  <c r="E29" i="11" s="1"/>
  <c r="D30" i="11" s="1"/>
  <c r="E30" i="11" s="1"/>
  <c r="D32" i="11" s="1"/>
  <c r="E32" i="11" s="1"/>
  <c r="D34" i="11" s="1"/>
  <c r="T5" i="11"/>
  <c r="S6" i="11"/>
  <c r="G32" i="11" l="1"/>
  <c r="T6" i="11"/>
  <c r="U5" i="11"/>
  <c r="U6" i="11" l="1"/>
  <c r="V5" i="11"/>
  <c r="V6" i="11" l="1"/>
  <c r="W5" i="11"/>
  <c r="V4" i="11"/>
  <c r="W6" i="11" l="1"/>
  <c r="X5" i="11"/>
  <c r="Y5" i="11" l="1"/>
  <c r="X6" i="11"/>
  <c r="Y6" i="11" l="1"/>
  <c r="Z5" i="11"/>
  <c r="Z6" i="11" l="1"/>
  <c r="AA5" i="11"/>
  <c r="E34" i="11"/>
  <c r="D35" i="11" s="1"/>
  <c r="E35" i="11" s="1"/>
  <c r="D36" i="11" l="1"/>
  <c r="E36" i="11" s="1"/>
  <c r="G34" i="11"/>
  <c r="AB5" i="11"/>
  <c r="AA6" i="11"/>
  <c r="AB6" i="11" l="1"/>
  <c r="AC5" i="11"/>
  <c r="G35" i="11"/>
  <c r="D38" i="11" l="1"/>
  <c r="E38" i="11" s="1"/>
  <c r="D39" i="11" s="1"/>
  <c r="E39" i="11" s="1"/>
  <c r="D40" i="11" s="1"/>
  <c r="E40" i="11" s="1"/>
  <c r="D41" i="11" s="1"/>
  <c r="AC6" i="11"/>
  <c r="AD5" i="11"/>
  <c r="AC4" i="11"/>
  <c r="AE5" i="11" l="1"/>
  <c r="AD6" i="11"/>
  <c r="E41" i="11"/>
  <c r="G41" i="11" s="1"/>
  <c r="G36"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<sst xmlns="http://schemas.openxmlformats.org/spreadsheetml/2006/main" count="56" uniqueCount="54">
  <si>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</si>
  <si>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</si>
  <si>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</si>
  <si>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</si>
  <si>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</si>
  <si>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</si>
  <si>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</si>
  <si>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</si>
  <si>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</si>
  <si>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</si>
  <si>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</si>
  <si>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</si>
  <si>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</si>
  <si>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</si>
  <si>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</si>
  <si>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</si>
  <si>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</si>
  <si>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</si>
  <si>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</si>
  <si>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</si>
  <si>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</si>
  <si>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</si>
  <si>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</si>
  <si>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</si>
  <si>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</si>
  <si>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</si>
  <si>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</si>
  <si>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</si>
  <si>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</si>
  <si>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</si>
  <si>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</si>
  <si>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</si>
  <si>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</si>
  <si>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</si>
  <si>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</si>
  <si>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</si>
  <si>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</si>
  <si>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</si>
  <si>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</si>
  <si>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</si>
  <si>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</si>
  <si>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</si>
  <si>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</si>
  <si>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</si>
  <si>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DESPLIEGUE</t>
  </si>
  <si>
    <t>Subir el código</t>
  </si>
  <si>
    <t>Probar que la web online funciona</t>
  </si>
  <si>
    <t>Documentación técnica</t>
  </si>
  <si>
    <t>Documentación de usuario</t>
  </si>
  <si>
    <t>Documentación de despliegue</t>
  </si>
  <si>
    <t>Entrega final</t>
  </si>
  <si>
    <t>Panel de administración de zapatillas - RFP-016</t>
  </si>
  <si>
    <t>Comprar dominio</t>
  </si>
  <si>
    <t>Ranking de zapatillas más favoritas - RFP-017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</si>
</sst>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1"/>
  <sheetViews>
    <sheetView showGridLines="0" tabSelected="1" showRuler="0" zoomScale="85" zoomScaleNormal="85" zoomScalePageLayoutView="70" workbookViewId="0">
      <pane ySplit="6" topLeftCell="A19" activePane="bottomLeft" state="frozen"/>
      <selection pane="bottomLeft" activeCell="C27" sqref="C27"/>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41"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1</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30"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v>1</v>
      </c>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51</v>
      </c>
      <c r="C18" s="15">
        <v>1</v>
      </c>
      <c r="D18" s="42">
        <f>E17+1</f>
        <v>46121</v>
      </c>
      <c r="E18" s="42">
        <f>D18+2</f>
        <v>46123</v>
      </c>
      <c r="F18" s="9"/>
      <c r="G18" s="9"/>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31</v>
      </c>
      <c r="C19" s="15">
        <v>1</v>
      </c>
      <c r="D19" s="42">
        <f>E17+1</f>
        <v>46121</v>
      </c>
      <c r="E19" s="42">
        <f>D19+2</f>
        <v>46123</v>
      </c>
      <c r="F19" s="9"/>
      <c r="G19" s="9">
        <f t="shared" si="6"/>
        <v>3</v>
      </c>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33</v>
      </c>
      <c r="C20" s="15">
        <v>1</v>
      </c>
      <c r="D20" s="42">
        <f t="shared" si="7"/>
        <v>46124</v>
      </c>
      <c r="E20" s="42">
        <f>D20+2</f>
        <v>46126</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34</v>
      </c>
      <c r="C21" s="15">
        <v>1</v>
      </c>
      <c r="D21" s="42">
        <f t="shared" si="7"/>
        <v>46127</v>
      </c>
      <c r="E21" s="42">
        <f>D21+1</f>
        <v>46128</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35</v>
      </c>
      <c r="C22" s="15">
        <v>1</v>
      </c>
      <c r="D22" s="42">
        <f t="shared" si="7"/>
        <v>46129</v>
      </c>
      <c r="E22" s="42">
        <f>D22+1</f>
        <v>46130</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36</v>
      </c>
      <c r="C23" s="15">
        <v>1</v>
      </c>
      <c r="D23" s="42">
        <f t="shared" si="7"/>
        <v>46131</v>
      </c>
      <c r="E23" s="42">
        <f>D23</f>
        <v>46131</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37</v>
      </c>
      <c r="C24" s="15">
        <v>1</v>
      </c>
      <c r="D24" s="42">
        <f t="shared" si="7"/>
        <v>46132</v>
      </c>
      <c r="E24" s="42">
        <f t="shared" ref="E24:E29" si="8">D24+1</f>
        <v>46133</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38</v>
      </c>
      <c r="C25" s="15">
        <v>1</v>
      </c>
      <c r="D25" s="42">
        <f>E23+1</f>
        <v>46132</v>
      </c>
      <c r="E25" s="42">
        <f t="shared" si="8"/>
        <v>46133</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39</v>
      </c>
      <c r="C26" s="15">
        <v>1</v>
      </c>
      <c r="D26" s="42">
        <f t="shared" si="7"/>
        <v>46134</v>
      </c>
      <c r="E26" s="42">
        <f t="shared" si="8"/>
        <v>46135</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53</v>
      </c>
      <c r="C27" s="15"/>
      <c r="D27" s="42">
        <f>E26+1</f>
        <v>46136</v>
      </c>
      <c r="E27" s="42">
        <f t="shared" si="8"/>
        <v>46137</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40</v>
      </c>
      <c r="C28" s="15"/>
      <c r="D28" s="42">
        <f>E26+1</f>
        <v>46136</v>
      </c>
      <c r="E28" s="42">
        <f t="shared" si="8"/>
        <v>46137</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c r="B29" s="31" t="s">
        <v>41</v>
      </c>
      <c r="C29" s="15"/>
      <c r="D29" s="42">
        <f>E28+1</f>
        <v>46138</v>
      </c>
      <c r="E29" s="42">
        <f t="shared" si="8"/>
        <v>46139</v>
      </c>
      <c r="F29" s="9"/>
      <c r="G29" s="9"/>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1" t="s">
        <v>42</v>
      </c>
      <c r="C30" s="15"/>
      <c r="D30" s="42">
        <f t="shared" si="7"/>
        <v>46140</v>
      </c>
      <c r="E30" s="42">
        <f>D30</f>
        <v>46140</v>
      </c>
      <c r="F30" s="9"/>
      <c r="G30" s="9"/>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t="s">
        <v>18</v>
      </c>
      <c r="B31" s="16" t="s">
        <v>21</v>
      </c>
      <c r="C31" s="17"/>
      <c r="D31" s="43"/>
      <c r="E31" s="44"/>
      <c r="F31" s="9"/>
      <c r="G31" s="9" t="str">
        <f t="shared" si="6"/>
        <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43</v>
      </c>
      <c r="C32" s="18"/>
      <c r="D32" s="45">
        <f>E30+1</f>
        <v>46141</v>
      </c>
      <c r="E32" s="45">
        <f>D32</f>
        <v>46141</v>
      </c>
      <c r="F32" s="9"/>
      <c r="G32" s="9">
        <f t="shared" si="6"/>
        <v>1</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t="s">
        <v>18</v>
      </c>
      <c r="B33" s="19" t="s">
        <v>44</v>
      </c>
      <c r="C33" s="20"/>
      <c r="D33" s="46"/>
      <c r="E33" s="47"/>
      <c r="F33" s="9"/>
      <c r="G33" s="9" t="str">
        <f t="shared" si="6"/>
        <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3" t="s">
        <v>52</v>
      </c>
      <c r="C34" s="21"/>
      <c r="D34" s="48">
        <f>E32+1</f>
        <v>46142</v>
      </c>
      <c r="E34" s="48">
        <f>D34</f>
        <v>46142</v>
      </c>
      <c r="F34" s="9"/>
      <c r="G34" s="9">
        <f t="shared" si="6"/>
        <v>1</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3" t="s">
        <v>45</v>
      </c>
      <c r="C35" s="21"/>
      <c r="D35" s="48">
        <f>E34+1</f>
        <v>46143</v>
      </c>
      <c r="E35" s="48">
        <f>D35+2</f>
        <v>46145</v>
      </c>
      <c r="F35" s="9"/>
      <c r="G35" s="9">
        <f t="shared" si="6"/>
        <v>3</v>
      </c>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3" t="s">
        <v>46</v>
      </c>
      <c r="C36" s="21"/>
      <c r="D36" s="48">
        <f>E35+1</f>
        <v>46146</v>
      </c>
      <c r="E36" s="48">
        <f>D36</f>
        <v>46146</v>
      </c>
      <c r="F36" s="9"/>
      <c r="G36" s="9">
        <f t="shared" si="6"/>
        <v>1</v>
      </c>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57" t="s">
        <v>22</v>
      </c>
      <c r="C37" s="58"/>
      <c r="D37" s="59"/>
      <c r="E37" s="60"/>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62" t="s">
        <v>47</v>
      </c>
      <c r="C38" s="61"/>
      <c r="D38" s="63">
        <f>E36+1</f>
        <v>46147</v>
      </c>
      <c r="E38" s="63">
        <f>D38+1</f>
        <v>46148</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62" t="s">
        <v>48</v>
      </c>
      <c r="C39" s="61"/>
      <c r="D39" s="63">
        <f>E38+1</f>
        <v>46149</v>
      </c>
      <c r="E39" s="63">
        <f>D39+1</f>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62" t="s">
        <v>49</v>
      </c>
      <c r="C40" s="61"/>
      <c r="D40" s="63">
        <f>E39+1</f>
        <v>46151</v>
      </c>
      <c r="E40" s="63">
        <f>D40+1</f>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62" t="s">
        <v>50</v>
      </c>
      <c r="C41" s="61"/>
      <c r="D41" s="63">
        <f>E40+1</f>
        <v>46153</v>
      </c>
      <c r="E41" s="63">
        <f>D41+3</f>
        <v>46156</v>
      </c>
      <c r="F41" s="9"/>
      <c r="G41" s="9">
        <f t="shared" si="6"/>
        <v>4</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sheetData>
  <mergeCells count="9">
    <mergeCell ref="BE4:BK4"/>
    <mergeCell ref="D3:E3"/>
    <mergeCell ref="H4:N4"/>
    <mergeCell ref="O4:U4"/>
    <mergeCell ref="V4:AB4"/>
    <mergeCell ref="AC4:AI4"/>
    <mergeCell ref="AJ4:AP4"/>
    <mergeCell ref="AQ4:AW4"/>
    <mergeCell ref="AX4:BD4"/>
  </mergeCells>
  <conditionalFormatting sqref="C31:C34 C7:C18">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K10 H13:BK18 H12:L12 N12:BK12 H11:M11 O11:BK11 H31:BK40">
    <cfRule type="expression" dxfId="11" priority="62">
      <formula>AND(TODAY()&gt;=H$5,TODAY()&lt;I$5)</formula>
    </cfRule>
  </conditionalFormatting>
  <conditionalFormatting sqref="H7:BK10 H13:BK18 H12:L12 N12:BK12 H11:M11 O11:BK11 H31:BK40">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9:C20">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9:BK30">
    <cfRule type="expression" dxfId="8" priority="29">
      <formula>AND(TODAY()&gt;=H$5,TODAY()&lt;I$5)</formula>
    </cfRule>
  </conditionalFormatting>
  <conditionalFormatting sqref="H19:BK30">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1">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2">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3">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4">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5">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6:C27">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8">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9">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30">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36">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41">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41:BK41">
    <cfRule type="expression" dxfId="5" priority="6">
      <formula>AND(TODAY()&gt;=H$5,TODAY()&lt;I$5)</formula>
    </cfRule>
  </conditionalFormatting>
  <conditionalFormatting sqref="H41:BK41">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37">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38:C40">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C31:C34 C7:C18</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C19:C20</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C26:C27</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C29</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C30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C41</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C37</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C38:C40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2026-04-23T10:05:22Z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