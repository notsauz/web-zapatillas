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7279F0F6-7044-4A41-BAB7-3680584C09A3}"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5" i="11" l="1"/>
  <c r="G7" i="11"/>
  <c r="G8" i="11"/>
  <c r="G12" i="11"/>
  <c r="G31" i="11"/>
  <c r="G33" i="11"/>
  <c r="D9" i="11" l="1"/>
  <c r="I5" i="11" l="1"/>
  <c r="H6" i="11"/>
  <c r="H4" i="11"/>
  <c r="E9" i="11"/>
  <c r="D10" i="11" s="1"/>
  <c r="G9" i="11" l="1"/>
  <c r="E10" i="11"/>
  <c r="D11" i="11" s="1"/>
  <c r="I6" i="11"/>
  <c r="J5" i="11"/>
  <c r="G10" i="11" l="1"/>
  <c r="J6" i="11"/>
  <c r="K5" i="11"/>
  <c r="E11" i="11"/>
  <c r="D13" i="11" s="1"/>
  <c r="E13" i="11" l="1"/>
  <c r="D14" i="11" s="1"/>
  <c r="G11" i="11"/>
  <c r="K6" i="11"/>
  <c r="L5" i="11"/>
  <c r="L6" i="11" l="1"/>
  <c r="M5" i="11"/>
  <c r="E14" i="11"/>
  <c r="D15" i="11" s="1"/>
  <c r="G13" i="11"/>
  <c r="G14" i="11" l="1"/>
  <c r="E15" i="11"/>
  <c r="D16" i="11" s="1"/>
  <c r="M6" i="11"/>
  <c r="N5" i="11"/>
  <c r="E16" i="11" l="1"/>
  <c r="D17" i="11" s="1"/>
  <c r="G16" i="11"/>
  <c r="O5" i="11"/>
  <c r="N6" i="11"/>
  <c r="G15" i="11"/>
  <c r="O4" i="11" l="1"/>
  <c r="P5" i="11"/>
  <c r="O6" i="11"/>
  <c r="E17" i="11"/>
  <c r="D18" i="11" l="1"/>
  <c r="E18" i="11" s="1"/>
  <c r="D19" i="11"/>
  <c r="G17" i="11"/>
  <c r="E19" i="11"/>
  <c r="D20" i="11" s="1"/>
  <c r="P6" i="11"/>
  <c r="Q5" i="11"/>
  <c r="E20" i="11" l="1"/>
  <c r="D21" i="11" s="1"/>
  <c r="E21" i="11" s="1"/>
  <c r="D22" i="11" s="1"/>
  <c r="E22" i="11" s="1"/>
  <c r="D23" i="11" s="1"/>
  <c r="R5" i="11"/>
  <c r="Q6" i="11"/>
  <c r="G19" i="11"/>
  <c r="E23" i="11" l="1"/>
  <c r="D24" i="11" s="1"/>
  <c r="E24" i="11" s="1"/>
  <c r="S5" i="11"/>
  <c r="R6" i="11"/>
  <c r="D25" i="11" l="1"/>
  <c r="E25" i="11" s="1"/>
  <c r="D26" i="11" s="1"/>
  <c r="E26" i="11" s="1"/>
  <c r="T5" i="11"/>
  <c r="S6" i="11"/>
  <c r="D28" i="11" l="1"/>
  <c r="E28" i="11" s="1"/>
  <c r="D29" i="11" s="1"/>
  <c r="E29" i="11" s="1"/>
  <c r="D30" i="11" s="1"/>
  <c r="E30" i="11" s="1"/>
  <c r="D32" i="11" s="1"/>
  <c r="D27" i="11"/>
  <c r="E27" i="11" s="1"/>
  <c r="T6" i="11"/>
  <c r="U5" i="11"/>
  <c r="E32" i="11" l="1"/>
  <c r="D34" i="11" s="1"/>
  <c r="G32" i="11"/>
  <c r="U6" i="11"/>
  <c r="V5" i="11"/>
  <c r="V6" i="11" l="1"/>
  <c r="W5" i="11"/>
  <c r="V4" i="11"/>
  <c r="W6" i="11" l="1"/>
  <c r="X5" i="11"/>
  <c r="Y5" i="11" l="1"/>
  <c r="X6" i="11"/>
  <c r="Y6" i="11" l="1"/>
  <c r="Z5" i="11"/>
  <c r="Z6" i="11" l="1"/>
  <c r="AA5" i="11"/>
  <c r="E34" i="11"/>
  <c r="D35" i="11" s="1"/>
  <c r="E35" i="11" s="1"/>
  <c r="D36" i="11" l="1"/>
  <c r="E36" i="11" s="1"/>
  <c r="G34" i="11"/>
  <c r="AB5" i="11"/>
  <c r="AA6" i="11"/>
  <c r="AB6" i="11" l="1"/>
  <c r="AC5" i="11"/>
  <c r="G35" i="11"/>
  <c r="D38" i="11" l="1"/>
  <c r="E38" i="11" s="1"/>
  <c r="D39" i="11" s="1"/>
  <c r="E39" i="11" s="1"/>
  <c r="AC6" i="11"/>
  <c r="AD5" i="11"/>
  <c r="AC4" i="11"/>
  <c r="AE5" i="11" l="1"/>
  <c r="AD6" i="11"/>
  <c r="G39" i="11"/>
  <c r="G36"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alcChain>
</file>

<file path=xl/sharedStrings.xml><?xml version="1.0" encoding="utf-8"?>
<sst xmlns="http://schemas.openxmlformats.org/spreadsheetml/2006/main" count="54" uniqueCount="52">
  <si>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</si>
  <si>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</si>
  <si>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</si>
  <si>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</si>
  <si>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</si>
  <si>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</si>
  <si>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</si>
  <si>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</si>
  <si>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</si>
  <si>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</si>
  <si>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</si>
  <si>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</si>
  <si>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</si>
  <si>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</si>
  <si>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</si>
  <si>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</si>
  <si>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</si>
  <si>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</si>
  <si>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</si>
  <si>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</si>
  <si>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</si>
  <si>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</si>
  <si>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</si>
  <si>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</si>
  <si>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</si>
  <si>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</si>
  <si>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</si>
  <si>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</si>
  <si>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</si>
  <si>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</si>
  <si>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</si>
  <si>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</si>
  <si>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</si>
  <si>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</si>
  <si>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</si>
  <si>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</si>
  <si>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</si>
  <si>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</si>
  <si>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</si>
  <si>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</si>
  <si>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</si>
  <si>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</si>
  <si>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</si>
  <si>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</si>
  <si>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DESPLIEGUE</t>
  </si>
  <si>
    <t>Probar que la web online funciona</t>
  </si>
  <si>
    <t>Entrega final</t>
  </si>
  <si>
    <t>Panel de administración de zapatillas - RFP-016</t>
  </si>
  <si>
    <t>Comprar dominio</t>
  </si>
  <si>
    <t>Ranking de zapatillas más favoritas - RFP-017</t>
  </si>
  <si>
    <t>Configurar mini pc con web</t>
  </si>
  <si>
    <t>Documentación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</si>
</sst>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8">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D39"/>
  <sheetViews>
    <sheetView showGridLines="0" tabSelected="1" showRuler="0" zoomScale="70" zoomScaleNormal="70" zoomScalePageLayoutView="70" workbookViewId="0">
      <pane ySplit="6" topLeftCell="A7" activePane="bottomLeft" state="frozen"/>
      <selection pane="bottomLeft" activeCell="B3" sqref="B3"/>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56" width="4.7109375" customWidth="1"/>
    <col min="61" max="62" width="10.28515625"/>
  </cols>
  <sheetData>
    <row r="1" spans="1:56" ht="30" customHeight="1" x14ac:dyDescent="0.45">
      <c r="A1" s="26" t="s">
        <v>0</v>
      </c>
      <c r="B1" s="27" t="s">
        <v>32</v>
      </c>
      <c r="C1" s="1"/>
      <c r="D1" s="3"/>
      <c r="E1" s="24"/>
      <c r="G1" s="1"/>
      <c r="H1" s="35"/>
    </row>
    <row r="2" spans="1:56" ht="30" customHeight="1" x14ac:dyDescent="0.3">
      <c r="A2" s="25" t="s">
        <v>1</v>
      </c>
      <c r="B2" s="28" t="s">
        <v>2</v>
      </c>
      <c r="H2" s="36"/>
    </row>
    <row r="3" spans="1:56" ht="30" customHeight="1" x14ac:dyDescent="0.25">
      <c r="A3" s="25" t="s">
        <v>3</v>
      </c>
      <c r="B3" s="29" t="s">
        <v>4</v>
      </c>
      <c r="C3" s="52"/>
      <c r="D3" s="67">
        <v>46113</v>
      </c>
      <c r="E3" s="67"/>
    </row>
    <row r="4" spans="1:56" ht="30" customHeight="1" x14ac:dyDescent="0.25">
      <c r="A4" s="26" t="s">
        <v>5</v>
      </c>
      <c r="C4" s="52"/>
      <c r="D4" s="5">
        <v>1</v>
      </c>
      <c r="H4" s="64">
        <f>H5</f>
        <v>46111</v>
      </c>
      <c r="I4" s="65"/>
      <c r="J4" s="65"/>
      <c r="K4" s="65"/>
      <c r="L4" s="65"/>
      <c r="M4" s="65"/>
      <c r="N4" s="66"/>
      <c r="O4" s="64">
        <f>O5</f>
        <v>46118</v>
      </c>
      <c r="P4" s="65"/>
      <c r="Q4" s="65"/>
      <c r="R4" s="65"/>
      <c r="S4" s="65"/>
      <c r="T4" s="65"/>
      <c r="U4" s="66"/>
      <c r="V4" s="64">
        <f>V5</f>
        <v>46125</v>
      </c>
      <c r="W4" s="65"/>
      <c r="X4" s="65"/>
      <c r="Y4" s="65"/>
      <c r="Z4" s="65"/>
      <c r="AA4" s="65"/>
      <c r="AB4" s="66"/>
      <c r="AC4" s="64">
        <f>AC5</f>
        <v>46132</v>
      </c>
      <c r="AD4" s="65"/>
      <c r="AE4" s="65"/>
      <c r="AF4" s="65"/>
      <c r="AG4" s="65"/>
      <c r="AH4" s="65"/>
      <c r="AI4" s="66"/>
      <c r="AJ4" s="64">
        <f>AJ5</f>
        <v>46139</v>
      </c>
      <c r="AK4" s="65"/>
      <c r="AL4" s="65"/>
      <c r="AM4" s="65"/>
      <c r="AN4" s="65"/>
      <c r="AO4" s="65"/>
      <c r="AP4" s="66"/>
      <c r="AQ4" s="64">
        <f>AQ5</f>
        <v>46146</v>
      </c>
      <c r="AR4" s="65"/>
      <c r="AS4" s="65"/>
      <c r="AT4" s="65"/>
      <c r="AU4" s="65"/>
      <c r="AV4" s="65"/>
      <c r="AW4" s="66"/>
      <c r="AX4" s="64">
        <f>AX5</f>
        <v>46153</v>
      </c>
      <c r="AY4" s="65"/>
      <c r="AZ4" s="65"/>
      <c r="BA4" s="65"/>
      <c r="BB4" s="65"/>
      <c r="BC4" s="65"/>
      <c r="BD4" s="66"/>
    </row>
    <row r="5" spans="1:56"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row>
    <row r="6" spans="1:56" ht="30" customHeight="1" thickBot="1" x14ac:dyDescent="0.3">
      <c r="A6" s="26" t="s">
        <v>7</v>
      </c>
      <c r="B6" s="6" t="s">
        <v>8</v>
      </c>
      <c r="C6" s="7" t="s">
        <v>9</v>
      </c>
      <c r="D6" s="7" t="s">
        <v>10</v>
      </c>
      <c r="E6" s="7" t="s">
        <v>11</v>
      </c>
      <c r="F6" s="7"/>
      <c r="G6" s="7" t="s">
        <v>12</v>
      </c>
      <c r="H6" s="8" t="str">
        <f t="shared" ref="H6" si="2">LEFT(TEXT(H5,"ddd"),1)</f>
        <v>l</v>
      </c>
      <c r="I6" s="8" t="str">
        <f t="shared" ref="I6:AQ6" si="3">LEFT(TEXT(I5,"ddd"),1)</f>
        <v>m</v>
      </c>
      <c r="J6" s="8" t="str">
        <f t="shared" si="3"/>
        <v>m</v>
      </c>
      <c r="K6" s="8" t="str">
        <f t="shared" si="3"/>
        <v>j</v>
      </c>
      <c r="L6" s="8" t="str">
        <f t="shared" si="3"/>
        <v>v</v>
      </c>
      <c r="M6" s="8" t="str">
        <f t="shared" si="3"/>
        <v>s</v>
      </c>
      <c r="N6" s="8" t="str">
        <f t="shared" si="3"/>
        <v>d</v>
      </c>
      <c r="O6" s="8" t="str">
        <f t="shared" si="3"/>
        <v>l</v>
      </c>
      <c r="P6" s="8" t="str">
        <f t="shared" si="3"/>
        <v>m</v>
      </c>
      <c r="Q6" s="8" t="str">
        <f t="shared" si="3"/>
        <v>m</v>
      </c>
      <c r="R6" s="8" t="str">
        <f t="shared" si="3"/>
        <v>j</v>
      </c>
      <c r="S6" s="8" t="str">
        <f t="shared" si="3"/>
        <v>v</v>
      </c>
      <c r="T6" s="8" t="str">
        <f t="shared" si="3"/>
        <v>s</v>
      </c>
      <c r="U6" s="8" t="str">
        <f t="shared" si="3"/>
        <v>d</v>
      </c>
      <c r="V6" s="8" t="str">
        <f t="shared" si="3"/>
        <v>l</v>
      </c>
      <c r="W6" s="8" t="str">
        <f t="shared" si="3"/>
        <v>m</v>
      </c>
      <c r="X6" s="8" t="str">
        <f t="shared" si="3"/>
        <v>m</v>
      </c>
      <c r="Y6" s="8" t="str">
        <f t="shared" si="3"/>
        <v>j</v>
      </c>
      <c r="Z6" s="8" t="str">
        <f t="shared" si="3"/>
        <v>v</v>
      </c>
      <c r="AA6" s="8" t="str">
        <f t="shared" si="3"/>
        <v>s</v>
      </c>
      <c r="AB6" s="8" t="str">
        <f t="shared" si="3"/>
        <v>d</v>
      </c>
      <c r="AC6" s="8" t="str">
        <f>LEFT(TEXT(AC5,"ddd"),1)</f>
        <v>l</v>
      </c>
      <c r="AD6" s="8" t="str">
        <f t="shared" si="3"/>
        <v>m</v>
      </c>
      <c r="AE6" s="8" t="str">
        <f t="shared" si="3"/>
        <v>m</v>
      </c>
      <c r="AF6" s="8" t="str">
        <f t="shared" si="3"/>
        <v>j</v>
      </c>
      <c r="AG6" s="8" t="str">
        <f t="shared" si="3"/>
        <v>v</v>
      </c>
      <c r="AH6" s="8" t="str">
        <f t="shared" si="3"/>
        <v>s</v>
      </c>
      <c r="AI6" s="8" t="str">
        <f t="shared" si="3"/>
        <v>d</v>
      </c>
      <c r="AJ6" s="8" t="str">
        <f t="shared" si="3"/>
        <v>l</v>
      </c>
      <c r="AK6" s="8" t="str">
        <f t="shared" si="3"/>
        <v>m</v>
      </c>
      <c r="AL6" s="8" t="str">
        <f t="shared" si="3"/>
        <v>m</v>
      </c>
      <c r="AM6" s="8" t="str">
        <f t="shared" si="3"/>
        <v>j</v>
      </c>
      <c r="AN6" s="8" t="str">
        <f t="shared" si="3"/>
        <v>v</v>
      </c>
      <c r="AO6" s="8" t="str">
        <f t="shared" si="3"/>
        <v>s</v>
      </c>
      <c r="AP6" s="8" t="str">
        <f t="shared" si="3"/>
        <v>d</v>
      </c>
      <c r="AQ6" s="8" t="str">
        <f t="shared" si="3"/>
        <v>l</v>
      </c>
      <c r="AR6" s="8" t="str">
        <f t="shared" ref="AR6:BD6" si="4">LEFT(TEXT(AR5,"ddd"),1)</f>
        <v>m</v>
      </c>
      <c r="AS6" s="8" t="str">
        <f t="shared" si="4"/>
        <v>m</v>
      </c>
      <c r="AT6" s="8" t="str">
        <f t="shared" si="4"/>
        <v>j</v>
      </c>
      <c r="AU6" s="8" t="str">
        <f t="shared" si="4"/>
        <v>v</v>
      </c>
      <c r="AV6" s="8" t="str">
        <f t="shared" si="4"/>
        <v>s</v>
      </c>
      <c r="AW6" s="8" t="str">
        <f t="shared" si="4"/>
        <v>d</v>
      </c>
      <c r="AX6" s="8" t="str">
        <f t="shared" si="4"/>
        <v>l</v>
      </c>
      <c r="AY6" s="8" t="str">
        <f t="shared" si="4"/>
        <v>m</v>
      </c>
      <c r="AZ6" s="8" t="str">
        <f t="shared" si="4"/>
        <v>m</v>
      </c>
      <c r="BA6" s="8" t="str">
        <f t="shared" si="4"/>
        <v>j</v>
      </c>
      <c r="BB6" s="8" t="str">
        <f t="shared" si="4"/>
        <v>v</v>
      </c>
      <c r="BC6" s="8" t="str">
        <f t="shared" si="4"/>
        <v>s</v>
      </c>
      <c r="BD6" s="8" t="str">
        <f t="shared" si="4"/>
        <v>d</v>
      </c>
    </row>
    <row r="7" spans="1:56"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row>
    <row r="8" spans="1:56" s="2" customFormat="1" ht="30" customHeight="1" thickBot="1" x14ac:dyDescent="0.3">
      <c r="A8" s="26" t="s">
        <v>14</v>
      </c>
      <c r="B8" s="10" t="s">
        <v>19</v>
      </c>
      <c r="C8" s="11"/>
      <c r="D8" s="37"/>
      <c r="E8" s="38"/>
      <c r="F8" s="9"/>
      <c r="G8" s="9" t="str">
        <f t="shared" ref="G8:G39" si="5">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row>
    <row r="9" spans="1:56" s="2" customFormat="1" ht="30" customHeight="1" thickBot="1" x14ac:dyDescent="0.3">
      <c r="A9" s="26" t="s">
        <v>15</v>
      </c>
      <c r="B9" s="30" t="s">
        <v>23</v>
      </c>
      <c r="C9" s="12">
        <v>1</v>
      </c>
      <c r="D9" s="39">
        <f>Inicio_del_proyecto</f>
        <v>46113</v>
      </c>
      <c r="E9" s="39">
        <f>D9</f>
        <v>46113</v>
      </c>
      <c r="F9" s="9"/>
      <c r="G9" s="9">
        <f t="shared" si="5"/>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row>
    <row r="10" spans="1:56" s="2" customFormat="1" ht="30" customHeight="1" thickBot="1" x14ac:dyDescent="0.3">
      <c r="A10" s="26" t="s">
        <v>16</v>
      </c>
      <c r="B10" s="30" t="s">
        <v>24</v>
      </c>
      <c r="C10" s="12">
        <v>1</v>
      </c>
      <c r="D10" s="39">
        <f>E9</f>
        <v>46113</v>
      </c>
      <c r="E10" s="39">
        <f>D10</f>
        <v>46113</v>
      </c>
      <c r="F10" s="9"/>
      <c r="G10" s="9">
        <f t="shared" si="5"/>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row>
    <row r="11" spans="1:56" s="2" customFormat="1" ht="30" customHeight="1" thickBot="1" x14ac:dyDescent="0.3">
      <c r="A11" s="25"/>
      <c r="B11" s="30" t="s">
        <v>25</v>
      </c>
      <c r="C11" s="12">
        <v>1</v>
      </c>
      <c r="D11" s="39">
        <f>E10+1</f>
        <v>46114</v>
      </c>
      <c r="E11" s="39">
        <f>D11</f>
        <v>46114</v>
      </c>
      <c r="F11" s="9"/>
      <c r="G11" s="9">
        <f t="shared" si="5"/>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row>
    <row r="12" spans="1:56" s="2" customFormat="1" ht="30" customHeight="1" thickBot="1" x14ac:dyDescent="0.3">
      <c r="A12" s="26" t="s">
        <v>17</v>
      </c>
      <c r="B12" s="13" t="s">
        <v>20</v>
      </c>
      <c r="C12" s="14"/>
      <c r="D12" s="40"/>
      <c r="E12" s="41"/>
      <c r="F12" s="9"/>
      <c r="G12" s="9" t="str">
        <f t="shared" si="5"/>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row>
    <row r="13" spans="1:56" s="2" customFormat="1" ht="30" customHeight="1" thickBot="1" x14ac:dyDescent="0.3">
      <c r="A13" s="26"/>
      <c r="B13" s="31" t="s">
        <v>26</v>
      </c>
      <c r="C13" s="15">
        <v>1</v>
      </c>
      <c r="D13" s="42">
        <f>E11+1</f>
        <v>46115</v>
      </c>
      <c r="E13" s="42">
        <f>D13+1</f>
        <v>46116</v>
      </c>
      <c r="F13" s="9"/>
      <c r="G13" s="9">
        <f t="shared" si="5"/>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row>
    <row r="14" spans="1:56" s="2" customFormat="1" ht="30" customHeight="1" thickBot="1" x14ac:dyDescent="0.3">
      <c r="A14" s="25"/>
      <c r="B14" s="31" t="s">
        <v>27</v>
      </c>
      <c r="C14" s="15">
        <v>1</v>
      </c>
      <c r="D14" s="42">
        <f t="shared" ref="D14:D30" si="6">E13+1</f>
        <v>46117</v>
      </c>
      <c r="E14" s="42">
        <f>D14+1</f>
        <v>46118</v>
      </c>
      <c r="F14" s="9"/>
      <c r="G14" s="9">
        <f t="shared" si="5"/>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row>
    <row r="15" spans="1:56" s="2" customFormat="1" ht="30" customHeight="1" thickBot="1" x14ac:dyDescent="0.3">
      <c r="A15" s="25"/>
      <c r="B15" s="31" t="s">
        <v>28</v>
      </c>
      <c r="C15" s="15">
        <v>1</v>
      </c>
      <c r="D15" s="42">
        <f t="shared" si="6"/>
        <v>46119</v>
      </c>
      <c r="E15" s="42">
        <f>D15</f>
        <v>46119</v>
      </c>
      <c r="F15" s="9"/>
      <c r="G15" s="9">
        <f t="shared" si="5"/>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row>
    <row r="16" spans="1:56" s="2" customFormat="1" ht="30" customHeight="1" thickBot="1" x14ac:dyDescent="0.3">
      <c r="A16" s="25"/>
      <c r="B16" s="31" t="s">
        <v>30</v>
      </c>
      <c r="C16" s="15">
        <v>1</v>
      </c>
      <c r="D16" s="42">
        <f>E15</f>
        <v>46119</v>
      </c>
      <c r="E16" s="42">
        <f>D16</f>
        <v>46119</v>
      </c>
      <c r="F16" s="9"/>
      <c r="G16" s="9">
        <f t="shared" si="5"/>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row>
    <row r="17" spans="1:56" s="2" customFormat="1" ht="30" customHeight="1" thickBot="1" x14ac:dyDescent="0.3">
      <c r="A17" s="25"/>
      <c r="B17" s="31" t="s">
        <v>29</v>
      </c>
      <c r="C17" s="15">
        <v>1</v>
      </c>
      <c r="D17" s="42">
        <f t="shared" si="6"/>
        <v>46120</v>
      </c>
      <c r="E17" s="42">
        <f>D17</f>
        <v>46120</v>
      </c>
      <c r="F17" s="9"/>
      <c r="G17" s="9">
        <f t="shared" si="5"/>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row>
    <row r="18" spans="1:56" s="2" customFormat="1" ht="30" customHeight="1" thickBot="1" x14ac:dyDescent="0.3">
      <c r="A18" s="25"/>
      <c r="B18" s="31" t="s">
        <v>47</v>
      </c>
      <c r="C18" s="15">
        <v>1</v>
      </c>
      <c r="D18" s="42">
        <f>E17+1</f>
        <v>46121</v>
      </c>
      <c r="E18" s="42">
        <f>D18+2</f>
        <v>46123</v>
      </c>
      <c r="F18" s="9"/>
      <c r="G18" s="9"/>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row>
    <row r="19" spans="1:56" s="2" customFormat="1" ht="30" customHeight="1" thickBot="1" x14ac:dyDescent="0.3">
      <c r="A19" s="25"/>
      <c r="B19" s="31" t="s">
        <v>31</v>
      </c>
      <c r="C19" s="15">
        <v>1</v>
      </c>
      <c r="D19" s="42">
        <f>E17+1</f>
        <v>46121</v>
      </c>
      <c r="E19" s="42">
        <f>D19+2</f>
        <v>46123</v>
      </c>
      <c r="F19" s="9"/>
      <c r="G19" s="9">
        <f t="shared" si="5"/>
        <v>3</v>
      </c>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row>
    <row r="20" spans="1:56" s="2" customFormat="1" ht="30" customHeight="1" thickBot="1" x14ac:dyDescent="0.3">
      <c r="A20" s="25"/>
      <c r="B20" s="31" t="s">
        <v>33</v>
      </c>
      <c r="C20" s="15">
        <v>1</v>
      </c>
      <c r="D20" s="42">
        <f t="shared" si="6"/>
        <v>46124</v>
      </c>
      <c r="E20" s="42">
        <f>D20+2</f>
        <v>46126</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row>
    <row r="21" spans="1:56" s="2" customFormat="1" ht="30" customHeight="1" thickBot="1" x14ac:dyDescent="0.3">
      <c r="A21" s="25"/>
      <c r="B21" s="31" t="s">
        <v>34</v>
      </c>
      <c r="C21" s="15">
        <v>1</v>
      </c>
      <c r="D21" s="42">
        <f t="shared" si="6"/>
        <v>46127</v>
      </c>
      <c r="E21" s="42">
        <f>D21+1</f>
        <v>46128</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row>
    <row r="22" spans="1:56" s="2" customFormat="1" ht="30" customHeight="1" thickBot="1" x14ac:dyDescent="0.3">
      <c r="A22" s="25"/>
      <c r="B22" s="31" t="s">
        <v>35</v>
      </c>
      <c r="C22" s="15">
        <v>1</v>
      </c>
      <c r="D22" s="42">
        <f t="shared" si="6"/>
        <v>46129</v>
      </c>
      <c r="E22" s="42">
        <f>D22+1</f>
        <v>46130</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row>
    <row r="23" spans="1:56" s="2" customFormat="1" ht="30" customHeight="1" thickBot="1" x14ac:dyDescent="0.3">
      <c r="A23" s="25"/>
      <c r="B23" s="31" t="s">
        <v>36</v>
      </c>
      <c r="C23" s="15">
        <v>1</v>
      </c>
      <c r="D23" s="42">
        <f t="shared" si="6"/>
        <v>46131</v>
      </c>
      <c r="E23" s="42">
        <f>D23</f>
        <v>46131</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row>
    <row r="24" spans="1:56" s="2" customFormat="1" ht="30" customHeight="1" thickBot="1" x14ac:dyDescent="0.3">
      <c r="A24" s="25"/>
      <c r="B24" s="31" t="s">
        <v>37</v>
      </c>
      <c r="C24" s="15">
        <v>1</v>
      </c>
      <c r="D24" s="42">
        <f t="shared" si="6"/>
        <v>46132</v>
      </c>
      <c r="E24" s="42">
        <f t="shared" ref="E24:E29" si="7">D24+1</f>
        <v>46133</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row>
    <row r="25" spans="1:56" s="2" customFormat="1" ht="30" customHeight="1" thickBot="1" x14ac:dyDescent="0.3">
      <c r="A25" s="25"/>
      <c r="B25" s="31" t="s">
        <v>38</v>
      </c>
      <c r="C25" s="15">
        <v>1</v>
      </c>
      <c r="D25" s="42">
        <f>E23+1</f>
        <v>46132</v>
      </c>
      <c r="E25" s="42">
        <f t="shared" si="7"/>
        <v>46133</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row>
    <row r="26" spans="1:56" s="2" customFormat="1" ht="30" customHeight="1" thickBot="1" x14ac:dyDescent="0.3">
      <c r="A26" s="25"/>
      <c r="B26" s="31" t="s">
        <v>39</v>
      </c>
      <c r="C26" s="15">
        <v>1</v>
      </c>
      <c r="D26" s="42">
        <f t="shared" si="6"/>
        <v>46134</v>
      </c>
      <c r="E26" s="42">
        <f t="shared" si="7"/>
        <v>46135</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row>
    <row r="27" spans="1:56" s="2" customFormat="1" ht="30" customHeight="1" thickBot="1" x14ac:dyDescent="0.3">
      <c r="A27" s="25"/>
      <c r="B27" s="31" t="s">
        <v>49</v>
      </c>
      <c r="C27" s="15">
        <v>1</v>
      </c>
      <c r="D27" s="42">
        <f>E26+1</f>
        <v>46136</v>
      </c>
      <c r="E27" s="42">
        <f t="shared" si="7"/>
        <v>46137</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row>
    <row r="28" spans="1:56" s="2" customFormat="1" ht="30" customHeight="1" thickBot="1" x14ac:dyDescent="0.3">
      <c r="A28" s="25"/>
      <c r="B28" s="31" t="s">
        <v>40</v>
      </c>
      <c r="C28" s="15">
        <v>0</v>
      </c>
      <c r="D28" s="42">
        <f>E26+1</f>
        <v>46136</v>
      </c>
      <c r="E28" s="42">
        <f t="shared" si="7"/>
        <v>46137</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row>
    <row r="29" spans="1:56" s="2" customFormat="1" ht="30" customHeight="1" thickBot="1" x14ac:dyDescent="0.3">
      <c r="A29" s="25"/>
      <c r="B29" s="31" t="s">
        <v>41</v>
      </c>
      <c r="C29" s="15">
        <v>1</v>
      </c>
      <c r="D29" s="42">
        <f>E28+1</f>
        <v>46138</v>
      </c>
      <c r="E29" s="42">
        <f t="shared" si="7"/>
        <v>46139</v>
      </c>
      <c r="F29" s="9"/>
      <c r="G29" s="9"/>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row>
    <row r="30" spans="1:56" s="2" customFormat="1" ht="30" customHeight="1" thickBot="1" x14ac:dyDescent="0.3">
      <c r="A30" s="25"/>
      <c r="B30" s="31" t="s">
        <v>42</v>
      </c>
      <c r="C30" s="15">
        <v>1</v>
      </c>
      <c r="D30" s="42">
        <f t="shared" si="6"/>
        <v>46140</v>
      </c>
      <c r="E30" s="42">
        <f>D30</f>
        <v>46140</v>
      </c>
      <c r="F30" s="9"/>
      <c r="G30" s="9"/>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row>
    <row r="31" spans="1:56" s="2" customFormat="1" ht="30" customHeight="1" thickBot="1" x14ac:dyDescent="0.3">
      <c r="A31" s="25" t="s">
        <v>18</v>
      </c>
      <c r="B31" s="16" t="s">
        <v>21</v>
      </c>
      <c r="C31" s="17"/>
      <c r="D31" s="43"/>
      <c r="E31" s="44"/>
      <c r="F31" s="9"/>
      <c r="G31" s="9" t="str">
        <f t="shared" si="5"/>
        <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row>
    <row r="32" spans="1:56" s="2" customFormat="1" ht="30" customHeight="1" thickBot="1" x14ac:dyDescent="0.3">
      <c r="A32" s="25"/>
      <c r="B32" s="32" t="s">
        <v>43</v>
      </c>
      <c r="C32" s="18">
        <v>1</v>
      </c>
      <c r="D32" s="45">
        <f>E30+1</f>
        <v>46141</v>
      </c>
      <c r="E32" s="45">
        <f>D32</f>
        <v>46141</v>
      </c>
      <c r="F32" s="9"/>
      <c r="G32" s="9">
        <f t="shared" si="5"/>
        <v>1</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row>
    <row r="33" spans="1:56" s="2" customFormat="1" ht="30" customHeight="1" thickBot="1" x14ac:dyDescent="0.3">
      <c r="A33" s="25" t="s">
        <v>18</v>
      </c>
      <c r="B33" s="19" t="s">
        <v>44</v>
      </c>
      <c r="C33" s="20"/>
      <c r="D33" s="46"/>
      <c r="E33" s="47"/>
      <c r="F33" s="9"/>
      <c r="G33" s="9" t="str">
        <f t="shared" si="5"/>
        <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row>
    <row r="34" spans="1:56" s="2" customFormat="1" ht="30" customHeight="1" thickBot="1" x14ac:dyDescent="0.3">
      <c r="A34" s="25"/>
      <c r="B34" s="33" t="s">
        <v>48</v>
      </c>
      <c r="C34" s="21">
        <v>1</v>
      </c>
      <c r="D34" s="48">
        <f>E32+1</f>
        <v>46142</v>
      </c>
      <c r="E34" s="48">
        <f>D34</f>
        <v>46142</v>
      </c>
      <c r="F34" s="9"/>
      <c r="G34" s="9">
        <f t="shared" si="5"/>
        <v>1</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row>
    <row r="35" spans="1:56" s="2" customFormat="1" ht="30" customHeight="1" thickBot="1" x14ac:dyDescent="0.3">
      <c r="A35" s="25"/>
      <c r="B35" s="33" t="s">
        <v>50</v>
      </c>
      <c r="C35" s="21">
        <v>1</v>
      </c>
      <c r="D35" s="48">
        <f>E34+1</f>
        <v>46143</v>
      </c>
      <c r="E35" s="48">
        <f>D35+2</f>
        <v>46145</v>
      </c>
      <c r="F35" s="9"/>
      <c r="G35" s="9">
        <f t="shared" si="5"/>
        <v>3</v>
      </c>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row>
    <row r="36" spans="1:56" s="2" customFormat="1" ht="30" customHeight="1" thickBot="1" x14ac:dyDescent="0.3">
      <c r="A36" s="25"/>
      <c r="B36" s="33" t="s">
        <v>45</v>
      </c>
      <c r="C36" s="21">
        <v>1</v>
      </c>
      <c r="D36" s="48">
        <f>E35+1</f>
        <v>46146</v>
      </c>
      <c r="E36" s="48">
        <f>D36+1</f>
        <v>46147</v>
      </c>
      <c r="F36" s="9"/>
      <c r="G36" s="9">
        <f t="shared" si="5"/>
        <v>2</v>
      </c>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row>
    <row r="37" spans="1:56" s="2" customFormat="1" ht="30" customHeight="1" thickBot="1" x14ac:dyDescent="0.3">
      <c r="A37" s="25"/>
      <c r="B37" s="57" t="s">
        <v>22</v>
      </c>
      <c r="C37" s="58"/>
      <c r="D37" s="59"/>
      <c r="E37" s="60"/>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row>
    <row r="38" spans="1:56" s="2" customFormat="1" ht="30" customHeight="1" thickBot="1" x14ac:dyDescent="0.3">
      <c r="A38" s="25"/>
      <c r="B38" s="62" t="s">
        <v>51</v>
      </c>
      <c r="C38" s="61">
        <v>0.25</v>
      </c>
      <c r="D38" s="63">
        <f>E36+1</f>
        <v>46148</v>
      </c>
      <c r="E38" s="63">
        <f>D38+4</f>
        <v>46152</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row>
    <row r="39" spans="1:56" s="2" customFormat="1" ht="30" customHeight="1" thickBot="1" x14ac:dyDescent="0.3">
      <c r="A39" s="25" t="s">
        <v>18</v>
      </c>
      <c r="B39" s="62" t="s">
        <v>46</v>
      </c>
      <c r="C39" s="61"/>
      <c r="D39" s="63">
        <f>E38+1</f>
        <v>46153</v>
      </c>
      <c r="E39" s="63">
        <f>D39+5</f>
        <v>46158</v>
      </c>
      <c r="F39" s="9"/>
      <c r="G39" s="9">
        <f t="shared" si="5"/>
        <v>6</v>
      </c>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row>
  </sheetData>
  <mergeCells count="8">
    <mergeCell ref="D3:E3"/>
    <mergeCell ref="H4:N4"/>
    <mergeCell ref="O4:U4"/>
    <mergeCell ref="V4:AB4"/>
    <mergeCell ref="AC4:AI4"/>
    <mergeCell ref="AJ4:AP4"/>
    <mergeCell ref="AQ4:AW4"/>
    <mergeCell ref="AX4:BD4"/>
  </mergeCells>
  <conditionalFormatting sqref="C31:C34 C7:C18 C38">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12:L12 H11:M11 H5:BC10 N12:BC12 O11:BC11 H13:BC39">
    <cfRule type="expression" dxfId="8" priority="62">
      <formula>AND(TODAY()&gt;=H$5,TODAY()&lt;I$5)</formula>
    </cfRule>
  </conditionalFormatting>
  <conditionalFormatting sqref="H12:L12 H11:M11 H7:BC10 N12:BC12 O11:BC11 H13:BC39">
    <cfRule type="expression" dxfId="7" priority="56">
      <formula>AND(task_start&lt;=H$5,ROUNDDOWN((task_end-task_start+1)*task_progress,0)+task_start-1&gt;=H$5)</formula>
    </cfRule>
    <cfRule type="expression" dxfId="6" priority="57" stopIfTrue="1">
      <formula>AND(task_end&gt;=H$5,task_start&lt;I$5)</formula>
    </cfRule>
  </conditionalFormatting>
  <conditionalFormatting sqref="C19:C20">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C21">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2">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3">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4">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5">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6:C27">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8">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9">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30">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36">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39">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C37">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N11">
    <cfRule type="expression" dxfId="5" priority="64">
      <formula>AND(TODAY()&gt;=M$5,TODAY()&lt;N$5)</formula>
    </cfRule>
  </conditionalFormatting>
  <conditionalFormatting sqref="N11">
    <cfRule type="expression" dxfId="4" priority="67">
      <formula>AND(task_start&lt;=M$5,ROUNDDOWN((task_end-task_start+1)*task_progress,0)+task_start-1&gt;=M$5)</formula>
    </cfRule>
    <cfRule type="expression" dxfId="3" priority="68" stopIfTrue="1">
      <formula>AND(task_end&gt;=M$5,task_start&lt;N$5)</formula>
    </cfRule>
  </conditionalFormatting>
  <conditionalFormatting sqref="BD5:BD39">
    <cfRule type="expression" dxfId="2" priority="70">
      <formula>AND(TODAY()&gt;=BD$5,TODAY()&lt;#REF!)</formula>
    </cfRule>
  </conditionalFormatting>
  <conditionalFormatting sqref="BD7:BD39">
    <cfRule type="expression" dxfId="1" priority="81">
      <formula>AND(task_start&lt;=BD$5,ROUNDDOWN((task_end-task_start+1)*task_progress,0)+task_start-1&gt;=BD$5)</formula>
    </cfRule>
    <cfRule type="expression" dxfId="0" priority="82" stopIfTrue="1">
      <formula>AND(task_end&gt;=BD$5,task_start&lt;#REF!)</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42"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C31:C34 C7:C18 C38</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C19:C20</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C26:C27</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C29</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C30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C39</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C37</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sharepoint/v3"/>
    <ds:schemaRef ds:uri="71af3243-3dd4-4a8d-8c0d-dd76da1f02a5"/>
    <ds:schemaRef ds:uri="230e9df3-be65-4c73-a93b-d1236ebd677e"/>
    <ds:schemaRef ds:uri="http://www.w3.org/XML/1998/namespace"/>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16c05727-aa75-4e4a-9b5f-8a80a1165891"/>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2026-05-07T11:06:53Z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