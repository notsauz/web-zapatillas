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codeName="ThisWorkbook"/>
  <xr:revisionPtr revIDLastSave="0" documentId="13_ncr:1_{D8A92CDD-656B-4356-9DFA-867E9FEFED2A}" xr6:coauthVersionLast="47" xr6:coauthVersionMax="47" xr10:uidLastSave="{00000000-0000-0000-0000-000000000000}"/>
  <bookViews>
    <workbookView xWindow="-120" yWindow="-120" windowWidth="29040" windowHeight="15720" xr2:uid="{00000000-000D-0000-FFFF-FFFF00000000}"/>
  </bookViews>
  <sheets>
    <sheet name="ProjectSchedule" sheetId="11" r:id="rId1"/>
  </sheets>
  <definedNames>
    <definedName name="hoy" localSheetId="0">TODAY()</definedName>
    <definedName name="Inicio_del_proyecto">ProjectSchedule!$D$3</definedName>
    <definedName name="Semana_para_mostrar">ProjectSchedule!$D$4</definedName>
    <definedName name="task_end" localSheetId="0">ProjectSchedule!$E1</definedName>
    <definedName name="task_progress" localSheetId="0">ProjectSchedule!$C1</definedName>
    <definedName name="task_start" localSheetId="0">ProjectSchedule!$D1</definedName>
    <definedName name="_xlnm.Print_Titles" localSheetId="0">ProjectSchedule!$4:$6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7" i="11" l="1"/>
  <c r="E27" i="11"/>
  <c r="D28" i="11"/>
  <c r="G7" i="11"/>
  <c r="G8" i="11"/>
  <c r="G12" i="11"/>
  <c r="G31" i="11"/>
  <c r="G33" i="11"/>
  <c r="D9" i="11" l="1"/>
  <c r="H5" i="11"/>
  <c r="I5" i="11" l="1"/>
  <c r="H6" i="11"/>
  <c r="H4" i="11"/>
  <c r="E9" i="11"/>
  <c r="D10" i="11" s="1"/>
  <c r="G9" i="11" l="1"/>
  <c r="E10" i="11"/>
  <c r="D11" i="11" s="1"/>
  <c r="I6" i="11"/>
  <c r="J5" i="11"/>
  <c r="G10" i="11" l="1"/>
  <c r="J6" i="11"/>
  <c r="K5" i="11"/>
  <c r="E11" i="11"/>
  <c r="D13" i="11" s="1"/>
  <c r="E13" i="11" l="1"/>
  <c r="D14" i="11" s="1"/>
  <c r="G11" i="11"/>
  <c r="K6" i="11"/>
  <c r="L5" i="11"/>
  <c r="L6" i="11" l="1"/>
  <c r="M5" i="11"/>
  <c r="E14" i="11"/>
  <c r="D15" i="11" s="1"/>
  <c r="G13" i="11"/>
  <c r="G14" i="11" l="1"/>
  <c r="E15" i="11"/>
  <c r="D16" i="11" s="1"/>
  <c r="M6" i="11"/>
  <c r="N5" i="11"/>
  <c r="E16" i="11" l="1"/>
  <c r="D17" i="11" s="1"/>
  <c r="G16" i="11"/>
  <c r="O5" i="11"/>
  <c r="N6" i="11"/>
  <c r="G15" i="11"/>
  <c r="O4" i="11" l="1"/>
  <c r="P5" i="11"/>
  <c r="O6" i="11"/>
  <c r="E17" i="11"/>
  <c r="D18" i="11" l="1"/>
  <c r="E18" i="11" s="1"/>
  <c r="D19" i="11"/>
  <c r="G17" i="11"/>
  <c r="E19" i="11"/>
  <c r="D20" i="11" s="1"/>
  <c r="P6" i="11"/>
  <c r="Q5" i="11"/>
  <c r="E20" i="11" l="1"/>
  <c r="D21" i="11" s="1"/>
  <c r="E21" i="11" s="1"/>
  <c r="D22" i="11" s="1"/>
  <c r="E22" i="11" s="1"/>
  <c r="D23" i="11" s="1"/>
  <c r="R5" i="11"/>
  <c r="Q6" i="11"/>
  <c r="G19" i="11"/>
  <c r="E23" i="11" l="1"/>
  <c r="D24" i="11" s="1"/>
  <c r="E24" i="11" s="1"/>
  <c r="S5" i="11"/>
  <c r="R6" i="11"/>
  <c r="D25" i="11" l="1"/>
  <c r="E25" i="11" s="1"/>
  <c r="D26" i="11" s="1"/>
  <c r="E26" i="11" s="1"/>
  <c r="E28" i="11" s="1"/>
  <c r="D29" i="11" s="1"/>
  <c r="E29" i="11" s="1"/>
  <c r="D30" i="11" s="1"/>
  <c r="E30" i="11" s="1"/>
  <c r="D32" i="11" s="1"/>
  <c r="E32" i="11" s="1"/>
  <c r="D34" i="11" s="1"/>
  <c r="T5" i="11"/>
  <c r="S6" i="11"/>
  <c r="G32" i="11" l="1"/>
  <c r="T6" i="11"/>
  <c r="U5" i="11"/>
  <c r="U6" i="11" l="1"/>
  <c r="V5" i="11"/>
  <c r="V6" i="11" l="1"/>
  <c r="W5" i="11"/>
  <c r="V4" i="11"/>
  <c r="W6" i="11" l="1"/>
  <c r="X5" i="11"/>
  <c r="Y5" i="11" l="1"/>
  <c r="X6" i="11"/>
  <c r="Y6" i="11" l="1"/>
  <c r="Z5" i="11"/>
  <c r="Z6" i="11" l="1"/>
  <c r="AA5" i="11"/>
  <c r="E34" i="11"/>
  <c r="D35" i="11" s="1"/>
  <c r="E35" i="11" s="1"/>
  <c r="D36" i="11" l="1"/>
  <c r="E36" i="11" s="1"/>
  <c r="G34" i="11"/>
  <c r="AB5" i="11"/>
  <c r="AA6" i="11"/>
  <c r="AB6" i="11" l="1"/>
  <c r="AC5" i="11"/>
  <c r="G35" i="11"/>
  <c r="D38" i="11" l="1"/>
  <c r="E38" i="11" s="1"/>
  <c r="D39" i="11" s="1"/>
  <c r="E39" i="11" s="1"/>
  <c r="D40" i="11" s="1"/>
  <c r="E40" i="11" s="1"/>
  <c r="D41" i="11" s="1"/>
  <c r="AC6" i="11"/>
  <c r="AD5" i="11"/>
  <c r="AC4" i="11"/>
  <c r="AE5" i="11" l="1"/>
  <c r="AD6" i="11"/>
  <c r="E41" i="11"/>
  <c r="G41" i="11" s="1"/>
  <c r="G36" i="11"/>
  <c r="AF5" i="11" l="1"/>
  <c r="AE6" i="11"/>
  <c r="AG5" i="11" l="1"/>
  <c r="AF6" i="11"/>
  <c r="AH5" i="11" l="1"/>
  <c r="AG6" i="11"/>
  <c r="AI5" i="11" l="1"/>
  <c r="AH6" i="11"/>
  <c r="AJ5" i="11" l="1"/>
  <c r="AI6" i="11"/>
  <c r="AK5" i="11" l="1"/>
  <c r="AJ6" i="11"/>
  <c r="AJ4" i="11"/>
  <c r="AL5" i="11" l="1"/>
  <c r="AK6" i="11"/>
  <c r="AL6" i="11" l="1"/>
  <c r="AM5" i="11"/>
  <c r="AM6" i="11" l="1"/>
  <c r="AN5" i="11"/>
  <c r="AN6" i="11" l="1"/>
  <c r="AO5" i="11"/>
  <c r="AO6" i="11" l="1"/>
  <c r="AP5" i="11"/>
  <c r="AQ5" i="11" l="1"/>
  <c r="AP6" i="11"/>
  <c r="AR5" i="11" l="1"/>
  <c r="AQ4" i="11"/>
  <c r="AQ6" i="11"/>
  <c r="AR6" i="11" l="1"/>
  <c r="AS5" i="11"/>
  <c r="AS6" i="11" l="1"/>
  <c r="AT5" i="11"/>
  <c r="AU5" i="11" l="1"/>
  <c r="AT6" i="11"/>
  <c r="AU6" i="11" l="1"/>
  <c r="AV5" i="11"/>
  <c r="AW5" i="11" l="1"/>
  <c r="AV6" i="11"/>
  <c r="AX5" i="11" l="1"/>
  <c r="AW6" i="11"/>
  <c r="AX6" i="11" l="1"/>
  <c r="AY5" i="11"/>
  <c r="AX4" i="11"/>
  <c r="AZ5" i="11" l="1"/>
  <c r="AY6" i="11"/>
  <c r="AZ6" i="11" l="1"/>
  <c r="BA5" i="11"/>
  <c r="BA6" i="11" l="1"/>
  <c r="BB5" i="11"/>
  <c r="BC5" i="11" l="1"/>
  <c r="BB6" i="11"/>
  <c r="BC6" i="11" l="1"/>
  <c r="BD5" i="11"/>
  <c r="BD6" i="11" l="1"/>
  <c r="BE5" i="11"/>
  <c r="BE4" i="11" l="1"/>
  <c r="BE6" i="11"/>
  <c r="BF5" i="11"/>
  <c r="BF6" i="11" l="1"/>
  <c r="BG5" i="11"/>
  <c r="BH5" i="11" l="1"/>
  <c r="BG6" i="11"/>
  <c r="BH6" i="11" l="1"/>
  <c r="BI5" i="11"/>
  <c r="BI6" i="11" l="1"/>
  <c r="BJ5" i="11"/>
  <c r="BK5" i="11" l="1"/>
  <c r="BK6" i="11" s="1"/>
  <c r="BJ6" i="11"/>
</calcChain>
</file>

<file path=xl/sharedStrings.xml><?xml version="1.0" encoding="utf-8"?>
<sst xmlns="http://schemas.openxmlformats.org/spreadsheetml/2006/main" count="56" uniqueCount="54">
  <si>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</si>
  <si>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t>
  </si>
  <si>
    <t>TopSneakers</t>
  </si>
  <si>
    <t>Escriba el nombre del responsable del proyecto en la celda B3. Escriba la fecha de comienzo del proyecto en la celda E3. Inicio del proyecto: la etiqueta se encuentra en la celda C3.</t>
  </si>
  <si>
    <t>Hugo Maeso</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</si>
  <si>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</si>
  <si>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</si>
  <si>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</si>
  <si>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TAREA</t>
  </si>
  <si>
    <t>PROGRESO</t>
  </si>
  <si>
    <t>INICIO</t>
  </si>
  <si>
    <t>FIN</t>
  </si>
  <si>
    <t>DÍAS</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</si>
  <si>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</si>
  <si>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</si>
  <si>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</si>
  <si>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</si>
  <si>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</si>
  <si>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Bloque de título fase de ejemplo</t>
  </si>
  <si>
    <t>CONFIGURACIÓN INICIAL</t>
  </si>
  <si>
    <t>DESARROLLO</t>
  </si>
  <si>
    <t>PRUEBAS</t>
  </si>
  <si>
    <t>DOCUMENTACIÓN</t>
  </si>
  <si>
    <t>Creación del repositorio de código</t>
  </si>
  <si>
    <t>Configuración del entorno de desarrollo en local (Laravel)</t>
  </si>
  <si>
    <t>Creación de la base de datos</t>
  </si>
  <si>
    <t>Página de registro de usuario - RFP-006</t>
  </si>
  <si>
    <t>Página de inicio de sesión - RFP-007</t>
  </si>
  <si>
    <t>Cierre de sesión - RFP-008</t>
  </si>
  <si>
    <t>Edición de perfil de usuario - RFP-009</t>
  </si>
  <si>
    <t>Persistencia de sesión - RFP-010</t>
  </si>
  <si>
    <t>Visualización de catálogo - RFP-001</t>
  </si>
  <si>
    <t>Diagrama de GANTT - WEB ZAPATILLAS</t>
  </si>
  <si>
    <t>Menú de navegación fijo - RFP-002</t>
  </si>
  <si>
    <t>Barra de búsqueda avanzada - RFP-003</t>
  </si>
  <si>
    <t>Filtros específicos por categoría - RFP-004</t>
  </si>
  <si>
    <t>Página de detalle de producto - RFP-005</t>
  </si>
  <si>
    <t>Gestión de favoritos - RFP-012</t>
  </si>
  <si>
    <t>Visualización de favoritos - RFP-013</t>
  </si>
  <si>
    <t>Cookies de productos visitados - RFP-011</t>
  </si>
  <si>
    <t>Banner de aceptación de cookies - RFP-014</t>
  </si>
  <si>
    <t>Selector de idioma (español / inglés) - RFP-014</t>
  </si>
  <si>
    <t>Mejoras y arreglos</t>
  </si>
  <si>
    <t>Probar que todo funciona</t>
  </si>
  <si>
    <t>DESPLIEGUE</t>
  </si>
  <si>
    <t>Probar que la web online funciona</t>
  </si>
  <si>
    <t>Documentación técnica</t>
  </si>
  <si>
    <t>Documentación de usuario</t>
  </si>
  <si>
    <t>Documentación de despliegue</t>
  </si>
  <si>
    <t>Entrega final</t>
  </si>
  <si>
    <t>Panel de administración de zapatillas - RFP-016</t>
  </si>
  <si>
    <t>Comprar dominio</t>
  </si>
  <si>
    <t>Ranking de zapatillas más favoritas - RFP-017</t>
  </si>
  <si>
    <t>Configurar mini pc con web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</si>
</sst>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m\-yy;@"/>
    <numFmt numFmtId="167" formatCode="d"/>
    <numFmt numFmtId="168" formatCode="ddd\,\ yyyy\-mm\-dd;@"/>
    <numFmt numFmtId="169" formatCode="d\ &quot;de&quot;\ mmmm\ &quot;de&quot;\ yyyy"/>
  </numFmts>
  <fonts count="26"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6">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9" tint="0.79998168889431442"/>
        <bgColor indexed="64"/>
      </patternFill>
    </fill>
  </fills>
  <borders count="21">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14993743705557422"/>
      </left>
      <right/>
      <top style="medium">
        <color theme="0" tint="-0.14996795556505021"/>
      </top>
      <bottom style="medium">
        <color theme="0" tint="-0.14996795556505021"/>
      </bottom>
      <diagonal/>
    </border>
    <border>
      <left/>
      <right style="thin">
        <color theme="0" tint="-0.14993743705557422"/>
      </right>
      <top style="medium">
        <color theme="0" tint="-0.14996795556505021"/>
      </top>
      <bottom style="medium">
        <color theme="0" tint="-0.14996795556505021"/>
      </bottom>
      <diagonal/>
    </border>
    <border>
      <left style="thin">
        <color theme="0" tint="-0.14993743705557422"/>
      </left>
      <right style="thin">
        <color theme="0" tint="-0.14993743705557422"/>
      </right>
      <top style="medium">
        <color theme="0" tint="-0.14996795556505021"/>
      </top>
      <bottom/>
      <diagonal/>
    </border>
    <border>
      <left/>
      <right style="thin">
        <color theme="0" tint="-0.14993743705557422"/>
      </right>
      <top/>
      <bottom style="medium">
        <color theme="0" tint="-0.14996795556505021"/>
      </bottom>
      <diagonal/>
    </border>
  </borders>
  <cellStyleXfs count="54">
    <xf numFmtId="0" fontId="0" fillId="0" borderId="0"/>
    <xf numFmtId="0" fontId="2" fillId="0" borderId="0" applyNumberFormat="0" applyFill="0" applyBorder="0" applyAlignment="0" applyProtection="0">
      <alignment vertical="top"/>
      <protection locked="0"/>
    </xf>
    <xf numFmtId="9" fontId="6" fillId="0" borderId="0" applyFont="0" applyFill="0" applyBorder="0" applyAlignment="0" applyProtection="0"/>
    <xf numFmtId="0" fontId="11" fillId="0" borderId="0"/>
    <xf numFmtId="165" fontId="6" fillId="0" borderId="3" applyFont="0" applyFill="0" applyAlignment="0" applyProtection="0"/>
    <xf numFmtId="0" fontId="10" fillId="0" borderId="0" applyNumberFormat="0" applyFill="0" applyBorder="0" applyAlignment="0" applyProtection="0"/>
    <xf numFmtId="0" fontId="7" fillId="0" borderId="0" applyNumberFormat="0" applyFill="0" applyAlignment="0" applyProtection="0"/>
    <xf numFmtId="0" fontId="7" fillId="0" borderId="0" applyNumberFormat="0" applyFill="0" applyProtection="0">
      <alignment vertical="top"/>
    </xf>
    <xf numFmtId="0" fontId="6" fillId="0" borderId="0" applyNumberFormat="0" applyFill="0" applyProtection="0">
      <alignment horizontal="right" indent="1"/>
    </xf>
    <xf numFmtId="168" fontId="6" fillId="0" borderId="3">
      <alignment horizontal="center" vertical="center"/>
    </xf>
    <xf numFmtId="166" fontId="6" fillId="0" borderId="2" applyFill="0">
      <alignment horizontal="center" vertical="center"/>
    </xf>
    <xf numFmtId="0" fontId="6" fillId="0" borderId="2" applyFill="0">
      <alignment horizontal="center" vertical="center"/>
    </xf>
    <xf numFmtId="0" fontId="6" fillId="0" borderId="2" applyFill="0">
      <alignment horizontal="left" vertical="center" indent="2"/>
    </xf>
    <xf numFmtId="0" fontId="14" fillId="0" borderId="0" applyNumberFormat="0" applyFill="0" applyBorder="0" applyAlignment="0" applyProtection="0"/>
    <xf numFmtId="164" fontId="6"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0" fontId="15" fillId="0" borderId="0" applyNumberFormat="0" applyFill="0" applyBorder="0" applyAlignment="0" applyProtection="0"/>
    <xf numFmtId="0" fontId="16" fillId="13" borderId="0" applyNumberFormat="0" applyBorder="0" applyAlignment="0" applyProtection="0"/>
    <xf numFmtId="0" fontId="17" fillId="14" borderId="0" applyNumberFormat="0" applyBorder="0" applyAlignment="0" applyProtection="0"/>
    <xf numFmtId="0" fontId="18" fillId="15" borderId="0" applyNumberFormat="0" applyBorder="0" applyAlignment="0" applyProtection="0"/>
    <xf numFmtId="0" fontId="19" fillId="16" borderId="11" applyNumberFormat="0" applyAlignment="0" applyProtection="0"/>
    <xf numFmtId="0" fontId="20" fillId="17" borderId="12" applyNumberFormat="0" applyAlignment="0" applyProtection="0"/>
    <xf numFmtId="0" fontId="21" fillId="17" borderId="11" applyNumberFormat="0" applyAlignment="0" applyProtection="0"/>
    <xf numFmtId="0" fontId="22" fillId="0" borderId="13" applyNumberFormat="0" applyFill="0" applyAlignment="0" applyProtection="0"/>
    <xf numFmtId="0" fontId="23" fillId="18" borderId="14" applyNumberFormat="0" applyAlignment="0" applyProtection="0"/>
    <xf numFmtId="0" fontId="24" fillId="0" borderId="0" applyNumberFormat="0" applyFill="0" applyBorder="0" applyAlignment="0" applyProtection="0"/>
    <xf numFmtId="0" fontId="6" fillId="19" borderId="15" applyNumberFormat="0" applyFont="0" applyAlignment="0" applyProtection="0"/>
    <xf numFmtId="0" fontId="25" fillId="0" borderId="0" applyNumberFormat="0" applyFill="0" applyBorder="0" applyAlignment="0" applyProtection="0"/>
    <xf numFmtId="0" fontId="4" fillId="0" borderId="16" applyNumberFormat="0" applyFill="0" applyAlignment="0" applyProtection="0"/>
    <xf numFmtId="0" fontId="11" fillId="20" borderId="0" applyNumberFormat="0" applyBorder="0" applyAlignment="0" applyProtection="0"/>
    <xf numFmtId="0" fontId="6"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11" fillId="24" borderId="0" applyNumberFormat="0" applyBorder="0" applyAlignment="0" applyProtection="0"/>
    <xf numFmtId="0" fontId="6"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11" fillId="28" borderId="0" applyNumberFormat="0" applyBorder="0" applyAlignment="0" applyProtection="0"/>
    <xf numFmtId="0" fontId="6"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11" fillId="32" borderId="0" applyNumberFormat="0" applyBorder="0" applyAlignment="0" applyProtection="0"/>
    <xf numFmtId="0" fontId="6" fillId="33"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11" fillId="36" borderId="0" applyNumberFormat="0" applyBorder="0" applyAlignment="0" applyProtection="0"/>
    <xf numFmtId="0" fontId="6" fillId="37" borderId="0" applyNumberFormat="0" applyBorder="0" applyAlignment="0" applyProtection="0"/>
    <xf numFmtId="0" fontId="6" fillId="38" borderId="0" applyNumberFormat="0" applyBorder="0" applyAlignment="0" applyProtection="0"/>
    <xf numFmtId="0" fontId="6" fillId="39" borderId="0" applyNumberFormat="0" applyBorder="0" applyAlignment="0" applyProtection="0"/>
    <xf numFmtId="0" fontId="11" fillId="40" borderId="0" applyNumberFormat="0" applyBorder="0" applyAlignment="0" applyProtection="0"/>
    <xf numFmtId="0" fontId="6" fillId="41" borderId="0" applyNumberFormat="0" applyBorder="0" applyAlignment="0" applyProtection="0"/>
    <xf numFmtId="0" fontId="6" fillId="42" borderId="0" applyNumberFormat="0" applyBorder="0" applyAlignment="0" applyProtection="0"/>
    <xf numFmtId="0" fontId="6" fillId="43" borderId="0" applyNumberFormat="0" applyBorder="0" applyAlignment="0" applyProtection="0"/>
  </cellStyleXfs>
  <cellXfs count="69">
    <xf numFmtId="0" fontId="0" fillId="0" borderId="0" xfId="0"/>
    <xf numFmtId="0" fontId="1" fillId="0" borderId="0" xfId="0" applyFont="1"/>
    <xf numFmtId="0" fontId="0" fillId="0" borderId="0" xfId="0" applyAlignment="1">
      <alignment vertical="center"/>
    </xf>
    <xf numFmtId="0" fontId="1" fillId="0" borderId="0" xfId="0" applyFont="1" applyAlignment="1">
      <alignment horizontal="center"/>
    </xf>
    <xf numFmtId="0" fontId="0" fillId="0" borderId="0" xfId="0" applyAlignment="1">
      <alignment horizontal="center"/>
    </xf>
    <xf numFmtId="0" fontId="0" fillId="0" borderId="3" xfId="0" applyBorder="1" applyAlignment="1">
      <alignment horizontal="center" vertical="center"/>
    </xf>
    <xf numFmtId="0" fontId="5" fillId="12" borderId="1" xfId="0" applyFont="1" applyFill="1" applyBorder="1" applyAlignment="1">
      <alignment horizontal="left" vertical="center" indent="1"/>
    </xf>
    <xf numFmtId="0" fontId="5" fillId="12" borderId="1" xfId="0" applyFont="1" applyFill="1" applyBorder="1" applyAlignment="1">
      <alignment horizontal="center" vertical="center" wrapText="1"/>
    </xf>
    <xf numFmtId="0" fontId="9" fillId="11" borderId="8" xfId="0" applyFont="1" applyFill="1" applyBorder="1" applyAlignment="1">
      <alignment horizontal="center" vertical="center" shrinkToFit="1"/>
    </xf>
    <xf numFmtId="0" fontId="3" fillId="0" borderId="2" xfId="0" applyFont="1" applyBorder="1" applyAlignment="1">
      <alignment horizontal="center" vertical="center"/>
    </xf>
    <xf numFmtId="0" fontId="4" fillId="7" borderId="2" xfId="0" applyFont="1" applyFill="1" applyBorder="1" applyAlignment="1">
      <alignment horizontal="left" vertical="center" indent="1"/>
    </xf>
    <xf numFmtId="9" fontId="3" fillId="7" borderId="2" xfId="2" applyFont="1" applyFill="1" applyBorder="1" applyAlignment="1">
      <alignment horizontal="center" vertical="center"/>
    </xf>
    <xf numFmtId="9" fontId="3" fillId="2" borderId="2" xfId="2" applyFont="1" applyFill="1" applyBorder="1" applyAlignment="1">
      <alignment horizontal="center" vertical="center"/>
    </xf>
    <xf numFmtId="0" fontId="4" fillId="8" borderId="2" xfId="0" applyFont="1" applyFill="1" applyBorder="1" applyAlignment="1">
      <alignment horizontal="left" vertical="center" indent="1"/>
    </xf>
    <xf numFmtId="9" fontId="3" fillId="8" borderId="2" xfId="2" applyFont="1" applyFill="1" applyBorder="1" applyAlignment="1">
      <alignment horizontal="center" vertical="center"/>
    </xf>
    <xf numFmtId="9" fontId="3" fillId="3" borderId="2" xfId="2" applyFont="1" applyFill="1" applyBorder="1" applyAlignment="1">
      <alignment horizontal="center" vertical="center"/>
    </xf>
    <xf numFmtId="0" fontId="4" fillId="5" borderId="2" xfId="0" applyFont="1" applyFill="1" applyBorder="1" applyAlignment="1">
      <alignment horizontal="left" vertical="center" indent="1"/>
    </xf>
    <xf numFmtId="9" fontId="3" fillId="5" borderId="2" xfId="2" applyFont="1" applyFill="1" applyBorder="1" applyAlignment="1">
      <alignment horizontal="center" vertical="center"/>
    </xf>
    <xf numFmtId="9" fontId="3" fillId="10" borderId="2" xfId="2" applyFont="1" applyFill="1" applyBorder="1" applyAlignment="1">
      <alignment horizontal="center" vertical="center"/>
    </xf>
    <xf numFmtId="0" fontId="4" fillId="4" borderId="2" xfId="0" applyFont="1" applyFill="1" applyBorder="1" applyAlignment="1">
      <alignment horizontal="left" vertical="center" indent="1"/>
    </xf>
    <xf numFmtId="9" fontId="3" fillId="4" borderId="2" xfId="2" applyFont="1" applyFill="1" applyBorder="1" applyAlignment="1">
      <alignment horizontal="center" vertical="center"/>
    </xf>
    <xf numFmtId="9" fontId="3" fillId="9" borderId="2" xfId="2"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1" fillId="0" borderId="0" xfId="0" applyFont="1" applyAlignment="1">
      <alignment horizontal="center" vertical="center"/>
    </xf>
    <xf numFmtId="0" fontId="11" fillId="0" borderId="0" xfId="3"/>
    <xf numFmtId="0" fontId="11" fillId="0" borderId="0" xfId="3" applyAlignment="1">
      <alignment wrapText="1"/>
    </xf>
    <xf numFmtId="0" fontId="10" fillId="0" borderId="0" xfId="5" applyAlignment="1">
      <alignment horizontal="left"/>
    </xf>
    <xf numFmtId="0" fontId="7" fillId="0" borderId="0" xfId="6"/>
    <xf numFmtId="0" fontId="7" fillId="0" borderId="0" xfId="7">
      <alignment vertical="top"/>
    </xf>
    <xf numFmtId="0" fontId="6" fillId="2" borderId="2" xfId="12" applyFill="1">
      <alignment horizontal="left" vertical="center" indent="2"/>
    </xf>
    <xf numFmtId="0" fontId="6" fillId="3" borderId="2" xfId="12" applyFill="1">
      <alignment horizontal="left" vertical="center" indent="2"/>
    </xf>
    <xf numFmtId="0" fontId="6" fillId="10" borderId="2" xfId="12" applyFill="1">
      <alignment horizontal="left" vertical="center" indent="2"/>
    </xf>
    <xf numFmtId="0" fontId="6" fillId="9" borderId="2" xfId="12" applyFill="1">
      <alignment horizontal="left" vertical="center" indent="2"/>
    </xf>
    <xf numFmtId="0" fontId="0" fillId="0" borderId="10" xfId="0" applyBorder="1"/>
    <xf numFmtId="0" fontId="12" fillId="0" borderId="0" xfId="0" applyFont="1"/>
    <xf numFmtId="0" fontId="13" fillId="0" borderId="0" xfId="1" applyFont="1" applyProtection="1">
      <alignment vertical="top"/>
    </xf>
    <xf numFmtId="166" fontId="0" fillId="7" borderId="2" xfId="0" applyNumberFormat="1" applyFill="1" applyBorder="1" applyAlignment="1">
      <alignment horizontal="center" vertical="center"/>
    </xf>
    <xf numFmtId="166" fontId="3" fillId="7" borderId="2" xfId="0" applyNumberFormat="1" applyFont="1" applyFill="1" applyBorder="1" applyAlignment="1">
      <alignment horizontal="center" vertical="center"/>
    </xf>
    <xf numFmtId="166" fontId="6" fillId="2" borderId="2" xfId="10" applyFill="1">
      <alignment horizontal="center" vertical="center"/>
    </xf>
    <xf numFmtId="166" fontId="0" fillId="8" borderId="2" xfId="0" applyNumberFormat="1" applyFill="1" applyBorder="1" applyAlignment="1">
      <alignment horizontal="center" vertical="center"/>
    </xf>
    <xf numFmtId="166" fontId="3" fillId="8" borderId="2" xfId="0" applyNumberFormat="1" applyFont="1" applyFill="1" applyBorder="1" applyAlignment="1">
      <alignment horizontal="center" vertical="center"/>
    </xf>
    <xf numFmtId="166" fontId="6" fillId="3" borderId="2" xfId="10" applyFill="1">
      <alignment horizontal="center" vertical="center"/>
    </xf>
    <xf numFmtId="166" fontId="0" fillId="5" borderId="2" xfId="0" applyNumberFormat="1" applyFill="1" applyBorder="1" applyAlignment="1">
      <alignment horizontal="center" vertical="center"/>
    </xf>
    <xf numFmtId="166" fontId="3" fillId="5" borderId="2" xfId="0" applyNumberFormat="1" applyFont="1" applyFill="1" applyBorder="1" applyAlignment="1">
      <alignment horizontal="center" vertical="center"/>
    </xf>
    <xf numFmtId="166" fontId="6" fillId="10" borderId="2" xfId="10" applyFill="1">
      <alignment horizontal="center" vertical="center"/>
    </xf>
    <xf numFmtId="166" fontId="0" fillId="4" borderId="2" xfId="0" applyNumberFormat="1" applyFill="1" applyBorder="1" applyAlignment="1">
      <alignment horizontal="center" vertical="center"/>
    </xf>
    <xf numFmtId="166" fontId="3" fillId="4" borderId="2" xfId="0" applyNumberFormat="1" applyFont="1" applyFill="1" applyBorder="1" applyAlignment="1">
      <alignment horizontal="center" vertical="center"/>
    </xf>
    <xf numFmtId="166" fontId="6" fillId="9" borderId="2" xfId="10" applyFill="1">
      <alignment horizontal="center" vertical="center"/>
    </xf>
    <xf numFmtId="167" fontId="8" fillId="6" borderId="6" xfId="0" applyNumberFormat="1" applyFont="1" applyFill="1" applyBorder="1" applyAlignment="1">
      <alignment horizontal="center" vertical="center"/>
    </xf>
    <xf numFmtId="167" fontId="8" fillId="6" borderId="0" xfId="0" applyNumberFormat="1" applyFont="1" applyFill="1" applyAlignment="1">
      <alignment horizontal="center" vertical="center"/>
    </xf>
    <xf numFmtId="167" fontId="8" fillId="6" borderId="7" xfId="0" applyNumberFormat="1" applyFont="1" applyFill="1" applyBorder="1" applyAlignment="1">
      <alignment horizontal="center" vertical="center"/>
    </xf>
    <xf numFmtId="0" fontId="6" fillId="0" borderId="7" xfId="8" applyBorder="1">
      <alignment horizontal="right" indent="1"/>
    </xf>
    <xf numFmtId="0" fontId="0" fillId="0" borderId="18" xfId="0" applyBorder="1" applyAlignment="1">
      <alignment vertical="center"/>
    </xf>
    <xf numFmtId="0" fontId="0" fillId="0" borderId="17"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4" fillId="44" borderId="2" xfId="0" applyFont="1" applyFill="1" applyBorder="1" applyAlignment="1">
      <alignment horizontal="left" vertical="center" indent="1"/>
    </xf>
    <xf numFmtId="9" fontId="3" fillId="44" borderId="2" xfId="2" applyFont="1" applyFill="1" applyBorder="1" applyAlignment="1">
      <alignment horizontal="center" vertical="center"/>
    </xf>
    <xf numFmtId="166" fontId="0" fillId="44" borderId="2" xfId="0" applyNumberFormat="1" applyFill="1" applyBorder="1" applyAlignment="1">
      <alignment horizontal="center" vertical="center"/>
    </xf>
    <xf numFmtId="166" fontId="3" fillId="44" borderId="2" xfId="0" applyNumberFormat="1" applyFont="1" applyFill="1" applyBorder="1" applyAlignment="1">
      <alignment horizontal="center" vertical="center"/>
    </xf>
    <xf numFmtId="9" fontId="3" fillId="45" borderId="2" xfId="2" applyFont="1" applyFill="1" applyBorder="1" applyAlignment="1">
      <alignment horizontal="center" vertical="center"/>
    </xf>
    <xf numFmtId="0" fontId="6" fillId="45" borderId="2" xfId="12" applyFill="1">
      <alignment horizontal="left" vertical="center" indent="2"/>
    </xf>
    <xf numFmtId="166" fontId="6" fillId="45" borderId="2" xfId="10" applyFill="1">
      <alignment horizontal="center" vertical="center"/>
    </xf>
    <xf numFmtId="0" fontId="0" fillId="0" borderId="9" xfId="0" applyFont="1" applyBorder="1" applyAlignment="1">
      <alignment vertical="center"/>
    </xf>
    <xf numFmtId="169" fontId="0" fillId="6" borderId="4" xfId="0" applyNumberFormat="1" applyFill="1" applyBorder="1" applyAlignment="1">
      <alignment horizontal="left" vertical="center" wrapText="1" indent="1"/>
    </xf>
    <xf numFmtId="169" fontId="0" fillId="6" borderId="1" xfId="0" applyNumberFormat="1" applyFill="1" applyBorder="1" applyAlignment="1">
      <alignment horizontal="left" vertical="center" wrapText="1" indent="1"/>
    </xf>
    <xf numFmtId="169" fontId="0" fillId="6" borderId="5" xfId="0" applyNumberFormat="1" applyFill="1" applyBorder="1" applyAlignment="1">
      <alignment horizontal="left" vertical="center" wrapText="1" indent="1"/>
    </xf>
    <xf numFmtId="168" fontId="6" fillId="0" borderId="3" xfId="9" applyAlignment="1">
      <alignment horizontal="center" vertical="center"/>
    </xf>
  </cellXfs>
  <cellStyles count="54">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B2D3C1EE-6B41-4801-AAFC-C2274E49E503}"/>
    <cellStyle name="Normal" xfId="0" builtinId="0" customBuiltin="1"/>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21">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20"/>
      <tableStyleElement type="headerRow" dxfId="19"/>
      <tableStyleElement type="totalRow" dxfId="18"/>
      <tableStyleElement type="firstColumn" dxfId="17"/>
      <tableStyleElement type="lastColumn" dxfId="16"/>
      <tableStyleElement type="firstRowStripe" dxfId="15"/>
      <tableStyleElement type="secondRowStripe" dxfId="14"/>
      <tableStyleElement type="firstColumnStripe" dxfId="13"/>
      <tableStyleElement type="secondColumnStripe" dxfId="1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K41"/>
  <sheetViews>
    <sheetView showGridLines="0" tabSelected="1" showRuler="0" zoomScale="85" zoomScaleNormal="85" zoomScalePageLayoutView="70" workbookViewId="0">
      <pane ySplit="6" topLeftCell="A19" activePane="bottomLeft" state="frozen"/>
      <selection pane="bottomLeft" activeCell="C29" sqref="C29"/>
    </sheetView>
  </sheetViews>
  <sheetFormatPr baseColWidth="10" defaultColWidth="9.140625" defaultRowHeight="30" customHeight="1" x14ac:dyDescent="0.25"/>
  <cols>
    <col min="1" max="1" width="2.7109375" style="25" customWidth="1"/>
    <col min="2" max="2" width="58.28515625" customWidth="1"/>
    <col min="3" max="3" width="12.7109375" customWidth="1"/>
    <col min="4" max="4" width="10.42578125" style="4" customWidth="1"/>
    <col min="5" max="5" width="10.42578125" customWidth="1"/>
    <col min="6" max="6" width="3.140625" customWidth="1"/>
    <col min="7" max="7" width="6.140625" hidden="1" customWidth="1"/>
    <col min="8" max="63" width="4.7109375" customWidth="1"/>
    <col min="68" max="69" width="10.28515625"/>
  </cols>
  <sheetData>
    <row r="1" spans="1:63" ht="30" customHeight="1" x14ac:dyDescent="0.45">
      <c r="A1" s="26" t="s">
        <v>0</v>
      </c>
      <c r="B1" s="27" t="s">
        <v>32</v>
      </c>
      <c r="C1" s="1"/>
      <c r="D1" s="3"/>
      <c r="E1" s="24"/>
      <c r="G1" s="1"/>
      <c r="H1" s="35"/>
    </row>
    <row r="2" spans="1:63" ht="30" customHeight="1" x14ac:dyDescent="0.3">
      <c r="A2" s="25" t="s">
        <v>1</v>
      </c>
      <c r="B2" s="28" t="s">
        <v>2</v>
      </c>
      <c r="H2" s="36"/>
    </row>
    <row r="3" spans="1:63" ht="30" customHeight="1" x14ac:dyDescent="0.25">
      <c r="A3" s="25" t="s">
        <v>3</v>
      </c>
      <c r="B3" s="29" t="s">
        <v>4</v>
      </c>
      <c r="C3" s="52"/>
      <c r="D3" s="68">
        <v>46113</v>
      </c>
      <c r="E3" s="68"/>
    </row>
    <row r="4" spans="1:63" ht="30" customHeight="1" x14ac:dyDescent="0.25">
      <c r="A4" s="26" t="s">
        <v>5</v>
      </c>
      <c r="C4" s="52"/>
      <c r="D4" s="5">
        <v>1</v>
      </c>
      <c r="H4" s="65">
        <f>H5</f>
        <v>46111</v>
      </c>
      <c r="I4" s="66"/>
      <c r="J4" s="66"/>
      <c r="K4" s="66"/>
      <c r="L4" s="66"/>
      <c r="M4" s="66"/>
      <c r="N4" s="67"/>
      <c r="O4" s="65">
        <f>O5</f>
        <v>46118</v>
      </c>
      <c r="P4" s="66"/>
      <c r="Q4" s="66"/>
      <c r="R4" s="66"/>
      <c r="S4" s="66"/>
      <c r="T4" s="66"/>
      <c r="U4" s="67"/>
      <c r="V4" s="65">
        <f>V5</f>
        <v>46125</v>
      </c>
      <c r="W4" s="66"/>
      <c r="X4" s="66"/>
      <c r="Y4" s="66"/>
      <c r="Z4" s="66"/>
      <c r="AA4" s="66"/>
      <c r="AB4" s="67"/>
      <c r="AC4" s="65">
        <f>AC5</f>
        <v>46132</v>
      </c>
      <c r="AD4" s="66"/>
      <c r="AE4" s="66"/>
      <c r="AF4" s="66"/>
      <c r="AG4" s="66"/>
      <c r="AH4" s="66"/>
      <c r="AI4" s="67"/>
      <c r="AJ4" s="65">
        <f>AJ5</f>
        <v>46139</v>
      </c>
      <c r="AK4" s="66"/>
      <c r="AL4" s="66"/>
      <c r="AM4" s="66"/>
      <c r="AN4" s="66"/>
      <c r="AO4" s="66"/>
      <c r="AP4" s="67"/>
      <c r="AQ4" s="65">
        <f>AQ5</f>
        <v>46146</v>
      </c>
      <c r="AR4" s="66"/>
      <c r="AS4" s="66"/>
      <c r="AT4" s="66"/>
      <c r="AU4" s="66"/>
      <c r="AV4" s="66"/>
      <c r="AW4" s="67"/>
      <c r="AX4" s="65">
        <f>AX5</f>
        <v>46153</v>
      </c>
      <c r="AY4" s="66"/>
      <c r="AZ4" s="66"/>
      <c r="BA4" s="66"/>
      <c r="BB4" s="66"/>
      <c r="BC4" s="66"/>
      <c r="BD4" s="67"/>
      <c r="BE4" s="65">
        <f>BE5</f>
        <v>46160</v>
      </c>
      <c r="BF4" s="66"/>
      <c r="BG4" s="66"/>
      <c r="BH4" s="66"/>
      <c r="BI4" s="66"/>
      <c r="BJ4" s="66"/>
      <c r="BK4" s="67"/>
    </row>
    <row r="5" spans="1:63" ht="15" customHeight="1" x14ac:dyDescent="0.25">
      <c r="A5" s="26" t="s">
        <v>6</v>
      </c>
      <c r="B5" s="34"/>
      <c r="C5" s="34"/>
      <c r="D5" s="34"/>
      <c r="E5" s="34"/>
      <c r="F5" s="34"/>
      <c r="H5" s="49">
        <f>Inicio_del_proyecto-WEEKDAY(Inicio_del_proyecto,1)+2+7*(Semana_para_mostrar-1)</f>
        <v>46111</v>
      </c>
      <c r="I5" s="50">
        <f>H5+1</f>
        <v>46112</v>
      </c>
      <c r="J5" s="50">
        <f>I5+1</f>
        <v>46113</v>
      </c>
      <c r="K5" s="50">
        <f t="shared" ref="K5:AW5" si="0">J5+1</f>
        <v>46114</v>
      </c>
      <c r="L5" s="50">
        <f t="shared" si="0"/>
        <v>46115</v>
      </c>
      <c r="M5" s="50">
        <f t="shared" si="0"/>
        <v>46116</v>
      </c>
      <c r="N5" s="51">
        <f t="shared" si="0"/>
        <v>46117</v>
      </c>
      <c r="O5" s="49">
        <f>N5+1</f>
        <v>46118</v>
      </c>
      <c r="P5" s="50">
        <f>O5+1</f>
        <v>46119</v>
      </c>
      <c r="Q5" s="50">
        <f t="shared" si="0"/>
        <v>46120</v>
      </c>
      <c r="R5" s="50">
        <f t="shared" si="0"/>
        <v>46121</v>
      </c>
      <c r="S5" s="50">
        <f t="shared" si="0"/>
        <v>46122</v>
      </c>
      <c r="T5" s="50">
        <f t="shared" si="0"/>
        <v>46123</v>
      </c>
      <c r="U5" s="51">
        <f t="shared" si="0"/>
        <v>46124</v>
      </c>
      <c r="V5" s="49">
        <f>U5+1</f>
        <v>46125</v>
      </c>
      <c r="W5" s="50">
        <f>V5+1</f>
        <v>46126</v>
      </c>
      <c r="X5" s="50">
        <f t="shared" si="0"/>
        <v>46127</v>
      </c>
      <c r="Y5" s="50">
        <f t="shared" si="0"/>
        <v>46128</v>
      </c>
      <c r="Z5" s="50">
        <f t="shared" si="0"/>
        <v>46129</v>
      </c>
      <c r="AA5" s="50">
        <f t="shared" si="0"/>
        <v>46130</v>
      </c>
      <c r="AB5" s="51">
        <f t="shared" si="0"/>
        <v>46131</v>
      </c>
      <c r="AC5" s="49">
        <f>AB5+1</f>
        <v>46132</v>
      </c>
      <c r="AD5" s="50">
        <f>AC5+1</f>
        <v>46133</v>
      </c>
      <c r="AE5" s="50">
        <f t="shared" si="0"/>
        <v>46134</v>
      </c>
      <c r="AF5" s="50">
        <f t="shared" si="0"/>
        <v>46135</v>
      </c>
      <c r="AG5" s="50">
        <f t="shared" si="0"/>
        <v>46136</v>
      </c>
      <c r="AH5" s="50">
        <f t="shared" si="0"/>
        <v>46137</v>
      </c>
      <c r="AI5" s="51">
        <f t="shared" si="0"/>
        <v>46138</v>
      </c>
      <c r="AJ5" s="49">
        <f>AI5+1</f>
        <v>46139</v>
      </c>
      <c r="AK5" s="50">
        <f>AJ5+1</f>
        <v>46140</v>
      </c>
      <c r="AL5" s="50">
        <f t="shared" si="0"/>
        <v>46141</v>
      </c>
      <c r="AM5" s="50">
        <f t="shared" si="0"/>
        <v>46142</v>
      </c>
      <c r="AN5" s="50">
        <f t="shared" si="0"/>
        <v>46143</v>
      </c>
      <c r="AO5" s="50">
        <f t="shared" si="0"/>
        <v>46144</v>
      </c>
      <c r="AP5" s="51">
        <f t="shared" si="0"/>
        <v>46145</v>
      </c>
      <c r="AQ5" s="49">
        <f>AP5+1</f>
        <v>46146</v>
      </c>
      <c r="AR5" s="50">
        <f>AQ5+1</f>
        <v>46147</v>
      </c>
      <c r="AS5" s="50">
        <f t="shared" si="0"/>
        <v>46148</v>
      </c>
      <c r="AT5" s="50">
        <f t="shared" si="0"/>
        <v>46149</v>
      </c>
      <c r="AU5" s="50">
        <f t="shared" si="0"/>
        <v>46150</v>
      </c>
      <c r="AV5" s="50">
        <f t="shared" si="0"/>
        <v>46151</v>
      </c>
      <c r="AW5" s="51">
        <f t="shared" si="0"/>
        <v>46152</v>
      </c>
      <c r="AX5" s="49">
        <f>AW5+1</f>
        <v>46153</v>
      </c>
      <c r="AY5" s="50">
        <f>AX5+1</f>
        <v>46154</v>
      </c>
      <c r="AZ5" s="50">
        <f t="shared" ref="AZ5:BD5" si="1">AY5+1</f>
        <v>46155</v>
      </c>
      <c r="BA5" s="50">
        <f t="shared" si="1"/>
        <v>46156</v>
      </c>
      <c r="BB5" s="50">
        <f t="shared" si="1"/>
        <v>46157</v>
      </c>
      <c r="BC5" s="50">
        <f t="shared" si="1"/>
        <v>46158</v>
      </c>
      <c r="BD5" s="51">
        <f t="shared" si="1"/>
        <v>46159</v>
      </c>
      <c r="BE5" s="49">
        <f>BD5+1</f>
        <v>46160</v>
      </c>
      <c r="BF5" s="50">
        <f>BE5+1</f>
        <v>46161</v>
      </c>
      <c r="BG5" s="50">
        <f t="shared" ref="BG5:BK5" si="2">BF5+1</f>
        <v>46162</v>
      </c>
      <c r="BH5" s="50">
        <f t="shared" si="2"/>
        <v>46163</v>
      </c>
      <c r="BI5" s="50">
        <f t="shared" si="2"/>
        <v>46164</v>
      </c>
      <c r="BJ5" s="50">
        <f t="shared" si="2"/>
        <v>46165</v>
      </c>
      <c r="BK5" s="51">
        <f t="shared" si="2"/>
        <v>46166</v>
      </c>
    </row>
    <row r="6" spans="1:63" ht="30" customHeight="1" thickBot="1" x14ac:dyDescent="0.3">
      <c r="A6" s="26" t="s">
        <v>7</v>
      </c>
      <c r="B6" s="6" t="s">
        <v>8</v>
      </c>
      <c r="C6" s="7" t="s">
        <v>9</v>
      </c>
      <c r="D6" s="7" t="s">
        <v>10</v>
      </c>
      <c r="E6" s="7" t="s">
        <v>11</v>
      </c>
      <c r="F6" s="7"/>
      <c r="G6" s="7" t="s">
        <v>12</v>
      </c>
      <c r="H6" s="8" t="str">
        <f t="shared" ref="H6" si="3">LEFT(TEXT(H5,"ddd"),1)</f>
        <v>l</v>
      </c>
      <c r="I6" s="8" t="str">
        <f t="shared" ref="I6:AQ6" si="4">LEFT(TEXT(I5,"ddd"),1)</f>
        <v>m</v>
      </c>
      <c r="J6" s="8" t="str">
        <f t="shared" si="4"/>
        <v>m</v>
      </c>
      <c r="K6" s="8" t="str">
        <f t="shared" si="4"/>
        <v>j</v>
      </c>
      <c r="L6" s="8" t="str">
        <f t="shared" si="4"/>
        <v>v</v>
      </c>
      <c r="M6" s="8" t="str">
        <f t="shared" si="4"/>
        <v>s</v>
      </c>
      <c r="N6" s="8" t="str">
        <f t="shared" si="4"/>
        <v>d</v>
      </c>
      <c r="O6" s="8" t="str">
        <f t="shared" si="4"/>
        <v>l</v>
      </c>
      <c r="P6" s="8" t="str">
        <f t="shared" si="4"/>
        <v>m</v>
      </c>
      <c r="Q6" s="8" t="str">
        <f t="shared" si="4"/>
        <v>m</v>
      </c>
      <c r="R6" s="8" t="str">
        <f t="shared" si="4"/>
        <v>j</v>
      </c>
      <c r="S6" s="8" t="str">
        <f t="shared" si="4"/>
        <v>v</v>
      </c>
      <c r="T6" s="8" t="str">
        <f t="shared" si="4"/>
        <v>s</v>
      </c>
      <c r="U6" s="8" t="str">
        <f t="shared" si="4"/>
        <v>d</v>
      </c>
      <c r="V6" s="8" t="str">
        <f t="shared" si="4"/>
        <v>l</v>
      </c>
      <c r="W6" s="8" t="str">
        <f t="shared" si="4"/>
        <v>m</v>
      </c>
      <c r="X6" s="8" t="str">
        <f t="shared" si="4"/>
        <v>m</v>
      </c>
      <c r="Y6" s="8" t="str">
        <f t="shared" si="4"/>
        <v>j</v>
      </c>
      <c r="Z6" s="8" t="str">
        <f t="shared" si="4"/>
        <v>v</v>
      </c>
      <c r="AA6" s="8" t="str">
        <f t="shared" si="4"/>
        <v>s</v>
      </c>
      <c r="AB6" s="8" t="str">
        <f t="shared" si="4"/>
        <v>d</v>
      </c>
      <c r="AC6" s="8" t="str">
        <f>LEFT(TEXT(AC5,"ddd"),1)</f>
        <v>l</v>
      </c>
      <c r="AD6" s="8" t="str">
        <f t="shared" si="4"/>
        <v>m</v>
      </c>
      <c r="AE6" s="8" t="str">
        <f t="shared" si="4"/>
        <v>m</v>
      </c>
      <c r="AF6" s="8" t="str">
        <f t="shared" si="4"/>
        <v>j</v>
      </c>
      <c r="AG6" s="8" t="str">
        <f t="shared" si="4"/>
        <v>v</v>
      </c>
      <c r="AH6" s="8" t="str">
        <f t="shared" si="4"/>
        <v>s</v>
      </c>
      <c r="AI6" s="8" t="str">
        <f t="shared" si="4"/>
        <v>d</v>
      </c>
      <c r="AJ6" s="8" t="str">
        <f t="shared" si="4"/>
        <v>l</v>
      </c>
      <c r="AK6" s="8" t="str">
        <f t="shared" si="4"/>
        <v>m</v>
      </c>
      <c r="AL6" s="8" t="str">
        <f t="shared" si="4"/>
        <v>m</v>
      </c>
      <c r="AM6" s="8" t="str">
        <f t="shared" si="4"/>
        <v>j</v>
      </c>
      <c r="AN6" s="8" t="str">
        <f t="shared" si="4"/>
        <v>v</v>
      </c>
      <c r="AO6" s="8" t="str">
        <f t="shared" si="4"/>
        <v>s</v>
      </c>
      <c r="AP6" s="8" t="str">
        <f t="shared" si="4"/>
        <v>d</v>
      </c>
      <c r="AQ6" s="8" t="str">
        <f t="shared" si="4"/>
        <v>l</v>
      </c>
      <c r="AR6" s="8" t="str">
        <f t="shared" ref="AR6:BK6" si="5">LEFT(TEXT(AR5,"ddd"),1)</f>
        <v>m</v>
      </c>
      <c r="AS6" s="8" t="str">
        <f t="shared" si="5"/>
        <v>m</v>
      </c>
      <c r="AT6" s="8" t="str">
        <f t="shared" si="5"/>
        <v>j</v>
      </c>
      <c r="AU6" s="8" t="str">
        <f t="shared" si="5"/>
        <v>v</v>
      </c>
      <c r="AV6" s="8" t="str">
        <f t="shared" si="5"/>
        <v>s</v>
      </c>
      <c r="AW6" s="8" t="str">
        <f t="shared" si="5"/>
        <v>d</v>
      </c>
      <c r="AX6" s="8" t="str">
        <f t="shared" si="5"/>
        <v>l</v>
      </c>
      <c r="AY6" s="8" t="str">
        <f t="shared" si="5"/>
        <v>m</v>
      </c>
      <c r="AZ6" s="8" t="str">
        <f t="shared" si="5"/>
        <v>m</v>
      </c>
      <c r="BA6" s="8" t="str">
        <f t="shared" si="5"/>
        <v>j</v>
      </c>
      <c r="BB6" s="8" t="str">
        <f t="shared" si="5"/>
        <v>v</v>
      </c>
      <c r="BC6" s="8" t="str">
        <f t="shared" si="5"/>
        <v>s</v>
      </c>
      <c r="BD6" s="8" t="str">
        <f t="shared" si="5"/>
        <v>d</v>
      </c>
      <c r="BE6" s="8" t="str">
        <f t="shared" si="5"/>
        <v>l</v>
      </c>
      <c r="BF6" s="8" t="str">
        <f t="shared" si="5"/>
        <v>m</v>
      </c>
      <c r="BG6" s="8" t="str">
        <f t="shared" si="5"/>
        <v>m</v>
      </c>
      <c r="BH6" s="8" t="str">
        <f t="shared" si="5"/>
        <v>j</v>
      </c>
      <c r="BI6" s="8" t="str">
        <f t="shared" si="5"/>
        <v>v</v>
      </c>
      <c r="BJ6" s="8" t="str">
        <f t="shared" si="5"/>
        <v>s</v>
      </c>
      <c r="BK6" s="8" t="str">
        <f t="shared" si="5"/>
        <v>d</v>
      </c>
    </row>
    <row r="7" spans="1:63" ht="30" hidden="1" customHeight="1" thickBot="1" x14ac:dyDescent="0.3">
      <c r="A7" s="25" t="s">
        <v>13</v>
      </c>
      <c r="D7"/>
      <c r="G7" t="str">
        <f>IF(OR(ISBLANK(task_start),ISBLANK(task_end)),"",task_end-task_start+1)</f>
        <v/>
      </c>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row>
    <row r="8" spans="1:63" s="2" customFormat="1" ht="30" customHeight="1" thickBot="1" x14ac:dyDescent="0.3">
      <c r="A8" s="26" t="s">
        <v>14</v>
      </c>
      <c r="B8" s="10" t="s">
        <v>19</v>
      </c>
      <c r="C8" s="11"/>
      <c r="D8" s="37"/>
      <c r="E8" s="38"/>
      <c r="F8" s="9"/>
      <c r="G8" s="9" t="str">
        <f t="shared" ref="G8:G41" si="6">IF(OR(ISBLANK(task_start),ISBLANK(task_end)),"",task_end-task_start+1)</f>
        <v/>
      </c>
      <c r="H8" s="22"/>
      <c r="I8" s="22"/>
      <c r="J8" s="22"/>
      <c r="K8" s="55"/>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64"/>
      <c r="BF8" s="22"/>
      <c r="BG8" s="22"/>
      <c r="BH8" s="22"/>
      <c r="BI8" s="22"/>
      <c r="BJ8" s="22"/>
      <c r="BK8" s="22"/>
    </row>
    <row r="9" spans="1:63" s="2" customFormat="1" ht="30" customHeight="1" thickBot="1" x14ac:dyDescent="0.3">
      <c r="A9" s="26" t="s">
        <v>15</v>
      </c>
      <c r="B9" s="30" t="s">
        <v>23</v>
      </c>
      <c r="C9" s="12">
        <v>1</v>
      </c>
      <c r="D9" s="39">
        <f>Inicio_del_proyecto</f>
        <v>46113</v>
      </c>
      <c r="E9" s="39">
        <f>D9</f>
        <v>46113</v>
      </c>
      <c r="F9" s="9"/>
      <c r="G9" s="9">
        <f t="shared" si="6"/>
        <v>1</v>
      </c>
      <c r="H9" s="22"/>
      <c r="I9" s="22"/>
      <c r="J9" s="54"/>
      <c r="K9" s="53"/>
      <c r="L9" s="53"/>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row>
    <row r="10" spans="1:63" s="2" customFormat="1" ht="30" customHeight="1" thickBot="1" x14ac:dyDescent="0.3">
      <c r="A10" s="26" t="s">
        <v>16</v>
      </c>
      <c r="B10" s="30" t="s">
        <v>24</v>
      </c>
      <c r="C10" s="12">
        <v>1</v>
      </c>
      <c r="D10" s="39">
        <f>E9</f>
        <v>46113</v>
      </c>
      <c r="E10" s="39">
        <f>D10</f>
        <v>46113</v>
      </c>
      <c r="F10" s="9"/>
      <c r="G10" s="9">
        <f t="shared" si="6"/>
        <v>1</v>
      </c>
      <c r="H10" s="22"/>
      <c r="I10" s="22"/>
      <c r="J10" s="54"/>
      <c r="K10" s="53"/>
      <c r="L10" s="53"/>
      <c r="M10" s="22"/>
      <c r="N10" s="22"/>
      <c r="O10" s="22"/>
      <c r="P10" s="22"/>
      <c r="Q10" s="22"/>
      <c r="R10" s="22"/>
      <c r="S10" s="22"/>
      <c r="T10" s="23"/>
      <c r="U10" s="23"/>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row>
    <row r="11" spans="1:63" s="2" customFormat="1" ht="30" customHeight="1" thickBot="1" x14ac:dyDescent="0.3">
      <c r="A11" s="25"/>
      <c r="B11" s="30" t="s">
        <v>25</v>
      </c>
      <c r="C11" s="12">
        <v>1</v>
      </c>
      <c r="D11" s="39">
        <f>E10+1</f>
        <v>46114</v>
      </c>
      <c r="E11" s="39">
        <f>D11</f>
        <v>46114</v>
      </c>
      <c r="F11" s="9"/>
      <c r="G11" s="9">
        <f t="shared" si="6"/>
        <v>1</v>
      </c>
      <c r="H11" s="22"/>
      <c r="I11" s="22"/>
      <c r="J11" s="54"/>
      <c r="K11" s="56"/>
      <c r="L11" s="22"/>
      <c r="M11" s="54"/>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row>
    <row r="12" spans="1:63" s="2" customFormat="1" ht="30" customHeight="1" thickBot="1" x14ac:dyDescent="0.3">
      <c r="A12" s="26" t="s">
        <v>17</v>
      </c>
      <c r="B12" s="13" t="s">
        <v>20</v>
      </c>
      <c r="C12" s="14"/>
      <c r="D12" s="40"/>
      <c r="E12" s="41"/>
      <c r="F12" s="9"/>
      <c r="G12" s="9" t="str">
        <f t="shared" si="6"/>
        <v/>
      </c>
      <c r="H12" s="22"/>
      <c r="I12" s="22"/>
      <c r="J12" s="22"/>
      <c r="K12" s="22"/>
      <c r="L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row>
    <row r="13" spans="1:63" s="2" customFormat="1" ht="30" customHeight="1" thickBot="1" x14ac:dyDescent="0.3">
      <c r="A13" s="26"/>
      <c r="B13" s="31" t="s">
        <v>26</v>
      </c>
      <c r="C13" s="15">
        <v>1</v>
      </c>
      <c r="D13" s="42">
        <f>E11+1</f>
        <v>46115</v>
      </c>
      <c r="E13" s="42">
        <f>D13+1</f>
        <v>46116</v>
      </c>
      <c r="F13" s="9"/>
      <c r="G13" s="9">
        <f t="shared" si="6"/>
        <v>2</v>
      </c>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row>
    <row r="14" spans="1:63" s="2" customFormat="1" ht="30" customHeight="1" thickBot="1" x14ac:dyDescent="0.3">
      <c r="A14" s="25"/>
      <c r="B14" s="31" t="s">
        <v>27</v>
      </c>
      <c r="C14" s="15">
        <v>1</v>
      </c>
      <c r="D14" s="42">
        <f t="shared" ref="D14:D30" si="7">E13+1</f>
        <v>46117</v>
      </c>
      <c r="E14" s="42">
        <f>D14+1</f>
        <v>46118</v>
      </c>
      <c r="F14" s="9"/>
      <c r="G14" s="9">
        <f t="shared" si="6"/>
        <v>2</v>
      </c>
      <c r="H14" s="22"/>
      <c r="I14" s="22"/>
      <c r="J14" s="22"/>
      <c r="K14" s="22"/>
      <c r="L14" s="22"/>
      <c r="M14" s="22"/>
      <c r="N14" s="22"/>
      <c r="O14" s="22"/>
      <c r="P14" s="22"/>
      <c r="Q14" s="22"/>
      <c r="R14" s="22"/>
      <c r="S14" s="22"/>
      <c r="T14" s="23"/>
      <c r="U14" s="23"/>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row>
    <row r="15" spans="1:63" s="2" customFormat="1" ht="30" customHeight="1" thickBot="1" x14ac:dyDescent="0.3">
      <c r="A15" s="25"/>
      <c r="B15" s="31" t="s">
        <v>28</v>
      </c>
      <c r="C15" s="15">
        <v>1</v>
      </c>
      <c r="D15" s="42">
        <f t="shared" si="7"/>
        <v>46119</v>
      </c>
      <c r="E15" s="42">
        <f>D15</f>
        <v>46119</v>
      </c>
      <c r="F15" s="9"/>
      <c r="G15" s="9">
        <f t="shared" si="6"/>
        <v>1</v>
      </c>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row>
    <row r="16" spans="1:63" s="2" customFormat="1" ht="30" customHeight="1" thickBot="1" x14ac:dyDescent="0.3">
      <c r="A16" s="25"/>
      <c r="B16" s="31" t="s">
        <v>30</v>
      </c>
      <c r="C16" s="15">
        <v>1</v>
      </c>
      <c r="D16" s="42">
        <f>E15</f>
        <v>46119</v>
      </c>
      <c r="E16" s="42">
        <f>D16</f>
        <v>46119</v>
      </c>
      <c r="F16" s="9"/>
      <c r="G16" s="9">
        <f t="shared" si="6"/>
        <v>1</v>
      </c>
      <c r="H16" s="22"/>
      <c r="I16" s="22"/>
      <c r="J16" s="22"/>
      <c r="K16" s="22"/>
      <c r="L16" s="22"/>
      <c r="M16" s="22"/>
      <c r="N16" s="22"/>
      <c r="O16" s="22"/>
      <c r="P16" s="22"/>
      <c r="Q16" s="22"/>
      <c r="R16" s="22"/>
      <c r="S16" s="22"/>
      <c r="T16" s="22"/>
      <c r="U16" s="22"/>
      <c r="V16" s="22"/>
      <c r="W16" s="22"/>
      <c r="X16" s="23"/>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row>
    <row r="17" spans="1:63" s="2" customFormat="1" ht="30" customHeight="1" thickBot="1" x14ac:dyDescent="0.3">
      <c r="A17" s="25"/>
      <c r="B17" s="31" t="s">
        <v>29</v>
      </c>
      <c r="C17" s="15">
        <v>1</v>
      </c>
      <c r="D17" s="42">
        <f t="shared" si="7"/>
        <v>46120</v>
      </c>
      <c r="E17" s="42">
        <f>D17</f>
        <v>46120</v>
      </c>
      <c r="F17" s="9"/>
      <c r="G17" s="9">
        <f t="shared" si="6"/>
        <v>1</v>
      </c>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row>
    <row r="18" spans="1:63" s="2" customFormat="1" ht="30" customHeight="1" thickBot="1" x14ac:dyDescent="0.3">
      <c r="A18" s="25"/>
      <c r="B18" s="31" t="s">
        <v>50</v>
      </c>
      <c r="C18" s="15">
        <v>1</v>
      </c>
      <c r="D18" s="42">
        <f>E17+1</f>
        <v>46121</v>
      </c>
      <c r="E18" s="42">
        <f>D18+2</f>
        <v>46123</v>
      </c>
      <c r="F18" s="9"/>
      <c r="G18" s="9"/>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row>
    <row r="19" spans="1:63" s="2" customFormat="1" ht="30" customHeight="1" thickBot="1" x14ac:dyDescent="0.3">
      <c r="A19" s="25"/>
      <c r="B19" s="31" t="s">
        <v>31</v>
      </c>
      <c r="C19" s="15">
        <v>1</v>
      </c>
      <c r="D19" s="42">
        <f>E17+1</f>
        <v>46121</v>
      </c>
      <c r="E19" s="42">
        <f>D19+2</f>
        <v>46123</v>
      </c>
      <c r="F19" s="9"/>
      <c r="G19" s="9">
        <f t="shared" si="6"/>
        <v>3</v>
      </c>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row>
    <row r="20" spans="1:63" s="2" customFormat="1" ht="30" customHeight="1" thickBot="1" x14ac:dyDescent="0.3">
      <c r="A20" s="25"/>
      <c r="B20" s="31" t="s">
        <v>33</v>
      </c>
      <c r="C20" s="15">
        <v>1</v>
      </c>
      <c r="D20" s="42">
        <f t="shared" si="7"/>
        <v>46124</v>
      </c>
      <c r="E20" s="42">
        <f>D20+2</f>
        <v>46126</v>
      </c>
      <c r="F20" s="9"/>
      <c r="G20" s="9"/>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row>
    <row r="21" spans="1:63" s="2" customFormat="1" ht="30" customHeight="1" thickBot="1" x14ac:dyDescent="0.3">
      <c r="A21" s="25"/>
      <c r="B21" s="31" t="s">
        <v>34</v>
      </c>
      <c r="C21" s="15">
        <v>1</v>
      </c>
      <c r="D21" s="42">
        <f t="shared" si="7"/>
        <v>46127</v>
      </c>
      <c r="E21" s="42">
        <f>D21+1</f>
        <v>46128</v>
      </c>
      <c r="F21" s="9"/>
      <c r="G21" s="9"/>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row>
    <row r="22" spans="1:63" s="2" customFormat="1" ht="30" customHeight="1" thickBot="1" x14ac:dyDescent="0.3">
      <c r="A22" s="25"/>
      <c r="B22" s="31" t="s">
        <v>35</v>
      </c>
      <c r="C22" s="15">
        <v>1</v>
      </c>
      <c r="D22" s="42">
        <f t="shared" si="7"/>
        <v>46129</v>
      </c>
      <c r="E22" s="42">
        <f>D22+1</f>
        <v>46130</v>
      </c>
      <c r="F22" s="9"/>
      <c r="G22" s="9"/>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row>
    <row r="23" spans="1:63" s="2" customFormat="1" ht="30" customHeight="1" thickBot="1" x14ac:dyDescent="0.3">
      <c r="A23" s="25"/>
      <c r="B23" s="31" t="s">
        <v>36</v>
      </c>
      <c r="C23" s="15">
        <v>1</v>
      </c>
      <c r="D23" s="42">
        <f t="shared" si="7"/>
        <v>46131</v>
      </c>
      <c r="E23" s="42">
        <f>D23</f>
        <v>46131</v>
      </c>
      <c r="F23" s="9"/>
      <c r="G23" s="9"/>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row>
    <row r="24" spans="1:63" s="2" customFormat="1" ht="30" customHeight="1" thickBot="1" x14ac:dyDescent="0.3">
      <c r="A24" s="25"/>
      <c r="B24" s="31" t="s">
        <v>37</v>
      </c>
      <c r="C24" s="15">
        <v>1</v>
      </c>
      <c r="D24" s="42">
        <f t="shared" si="7"/>
        <v>46132</v>
      </c>
      <c r="E24" s="42">
        <f t="shared" ref="E24:E29" si="8">D24+1</f>
        <v>46133</v>
      </c>
      <c r="F24" s="9"/>
      <c r="G24" s="9"/>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row>
    <row r="25" spans="1:63" s="2" customFormat="1" ht="30" customHeight="1" thickBot="1" x14ac:dyDescent="0.3">
      <c r="A25" s="25"/>
      <c r="B25" s="31" t="s">
        <v>38</v>
      </c>
      <c r="C25" s="15">
        <v>1</v>
      </c>
      <c r="D25" s="42">
        <f>E23+1</f>
        <v>46132</v>
      </c>
      <c r="E25" s="42">
        <f t="shared" si="8"/>
        <v>46133</v>
      </c>
      <c r="F25" s="9"/>
      <c r="G25" s="9"/>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row>
    <row r="26" spans="1:63" s="2" customFormat="1" ht="30" customHeight="1" thickBot="1" x14ac:dyDescent="0.3">
      <c r="A26" s="25"/>
      <c r="B26" s="31" t="s">
        <v>39</v>
      </c>
      <c r="C26" s="15">
        <v>1</v>
      </c>
      <c r="D26" s="42">
        <f t="shared" si="7"/>
        <v>46134</v>
      </c>
      <c r="E26" s="42">
        <f t="shared" si="8"/>
        <v>46135</v>
      </c>
      <c r="F26" s="9"/>
      <c r="G26" s="9"/>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row>
    <row r="27" spans="1:63" s="2" customFormat="1" ht="30" customHeight="1" thickBot="1" x14ac:dyDescent="0.3">
      <c r="A27" s="25"/>
      <c r="B27" s="31" t="s">
        <v>52</v>
      </c>
      <c r="C27" s="15">
        <v>1</v>
      </c>
      <c r="D27" s="42">
        <f>E26+1</f>
        <v>46136</v>
      </c>
      <c r="E27" s="42">
        <f t="shared" si="8"/>
        <v>46137</v>
      </c>
      <c r="F27" s="9"/>
      <c r="G27" s="9"/>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row>
    <row r="28" spans="1:63" s="2" customFormat="1" ht="30" customHeight="1" thickBot="1" x14ac:dyDescent="0.3">
      <c r="A28" s="25"/>
      <c r="B28" s="31" t="s">
        <v>40</v>
      </c>
      <c r="C28" s="15">
        <v>0</v>
      </c>
      <c r="D28" s="42">
        <f>E26+1</f>
        <v>46136</v>
      </c>
      <c r="E28" s="42">
        <f t="shared" si="8"/>
        <v>46137</v>
      </c>
      <c r="F28" s="9"/>
      <c r="G28" s="9"/>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row>
    <row r="29" spans="1:63" s="2" customFormat="1" ht="30" customHeight="1" thickBot="1" x14ac:dyDescent="0.3">
      <c r="A29" s="25"/>
      <c r="B29" s="31" t="s">
        <v>41</v>
      </c>
      <c r="C29" s="15"/>
      <c r="D29" s="42">
        <f>E28+1</f>
        <v>46138</v>
      </c>
      <c r="E29" s="42">
        <f t="shared" si="8"/>
        <v>46139</v>
      </c>
      <c r="F29" s="9"/>
      <c r="G29" s="9"/>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row>
    <row r="30" spans="1:63" s="2" customFormat="1" ht="30" customHeight="1" thickBot="1" x14ac:dyDescent="0.3">
      <c r="A30" s="25"/>
      <c r="B30" s="31" t="s">
        <v>42</v>
      </c>
      <c r="C30" s="15"/>
      <c r="D30" s="42">
        <f t="shared" si="7"/>
        <v>46140</v>
      </c>
      <c r="E30" s="42">
        <f>D30</f>
        <v>46140</v>
      </c>
      <c r="F30" s="9"/>
      <c r="G30" s="9"/>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row>
    <row r="31" spans="1:63" s="2" customFormat="1" ht="30" customHeight="1" thickBot="1" x14ac:dyDescent="0.3">
      <c r="A31" s="25" t="s">
        <v>18</v>
      </c>
      <c r="B31" s="16" t="s">
        <v>21</v>
      </c>
      <c r="C31" s="17"/>
      <c r="D31" s="43"/>
      <c r="E31" s="44"/>
      <c r="F31" s="9"/>
      <c r="G31" s="9" t="str">
        <f t="shared" si="6"/>
        <v/>
      </c>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row>
    <row r="32" spans="1:63" s="2" customFormat="1" ht="30" customHeight="1" thickBot="1" x14ac:dyDescent="0.3">
      <c r="A32" s="25"/>
      <c r="B32" s="32" t="s">
        <v>43</v>
      </c>
      <c r="C32" s="18"/>
      <c r="D32" s="45">
        <f>E30+1</f>
        <v>46141</v>
      </c>
      <c r="E32" s="45">
        <f>D32</f>
        <v>46141</v>
      </c>
      <c r="F32" s="9"/>
      <c r="G32" s="9">
        <f t="shared" si="6"/>
        <v>1</v>
      </c>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row>
    <row r="33" spans="1:63" s="2" customFormat="1" ht="30" customHeight="1" thickBot="1" x14ac:dyDescent="0.3">
      <c r="A33" s="25" t="s">
        <v>18</v>
      </c>
      <c r="B33" s="19" t="s">
        <v>44</v>
      </c>
      <c r="C33" s="20"/>
      <c r="D33" s="46"/>
      <c r="E33" s="47"/>
      <c r="F33" s="9"/>
      <c r="G33" s="9" t="str">
        <f t="shared" si="6"/>
        <v/>
      </c>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row>
    <row r="34" spans="1:63" s="2" customFormat="1" ht="30" customHeight="1" thickBot="1" x14ac:dyDescent="0.3">
      <c r="A34" s="25"/>
      <c r="B34" s="33" t="s">
        <v>51</v>
      </c>
      <c r="C34" s="21">
        <v>1</v>
      </c>
      <c r="D34" s="48">
        <f>E32+1</f>
        <v>46142</v>
      </c>
      <c r="E34" s="48">
        <f>D34</f>
        <v>46142</v>
      </c>
      <c r="F34" s="9"/>
      <c r="G34" s="9">
        <f t="shared" si="6"/>
        <v>1</v>
      </c>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row>
    <row r="35" spans="1:63" s="2" customFormat="1" ht="30" customHeight="1" thickBot="1" x14ac:dyDescent="0.3">
      <c r="A35" s="25"/>
      <c r="B35" s="33" t="s">
        <v>53</v>
      </c>
      <c r="C35" s="21"/>
      <c r="D35" s="48">
        <f>E34+1</f>
        <v>46143</v>
      </c>
      <c r="E35" s="48">
        <f>D35+2</f>
        <v>46145</v>
      </c>
      <c r="F35" s="9"/>
      <c r="G35" s="9">
        <f t="shared" si="6"/>
        <v>3</v>
      </c>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row>
    <row r="36" spans="1:63" s="2" customFormat="1" ht="30" customHeight="1" thickBot="1" x14ac:dyDescent="0.3">
      <c r="A36" s="25"/>
      <c r="B36" s="33" t="s">
        <v>45</v>
      </c>
      <c r="C36" s="21"/>
      <c r="D36" s="48">
        <f>E35+1</f>
        <v>46146</v>
      </c>
      <c r="E36" s="48">
        <f>D36</f>
        <v>46146</v>
      </c>
      <c r="F36" s="9"/>
      <c r="G36" s="9">
        <f t="shared" si="6"/>
        <v>1</v>
      </c>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row>
    <row r="37" spans="1:63" s="2" customFormat="1" ht="30" customHeight="1" thickBot="1" x14ac:dyDescent="0.3">
      <c r="A37" s="25"/>
      <c r="B37" s="57" t="s">
        <v>22</v>
      </c>
      <c r="C37" s="58"/>
      <c r="D37" s="59"/>
      <c r="E37" s="60"/>
      <c r="F37" s="9"/>
      <c r="G37" s="9"/>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row>
    <row r="38" spans="1:63" s="2" customFormat="1" ht="30" customHeight="1" thickBot="1" x14ac:dyDescent="0.3">
      <c r="A38" s="25"/>
      <c r="B38" s="62" t="s">
        <v>46</v>
      </c>
      <c r="C38" s="61"/>
      <c r="D38" s="63">
        <f>E36+1</f>
        <v>46147</v>
      </c>
      <c r="E38" s="63">
        <f>D38+1</f>
        <v>46148</v>
      </c>
      <c r="F38" s="9"/>
      <c r="G38" s="9"/>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row>
    <row r="39" spans="1:63" s="2" customFormat="1" ht="30" customHeight="1" thickBot="1" x14ac:dyDescent="0.3">
      <c r="A39" s="25"/>
      <c r="B39" s="62" t="s">
        <v>47</v>
      </c>
      <c r="C39" s="61"/>
      <c r="D39" s="63">
        <f>E38+1</f>
        <v>46149</v>
      </c>
      <c r="E39" s="63">
        <f>D39+1</f>
        <v>46150</v>
      </c>
      <c r="F39" s="9"/>
      <c r="G39" s="9"/>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row>
    <row r="40" spans="1:63" s="2" customFormat="1" ht="30" customHeight="1" thickBot="1" x14ac:dyDescent="0.3">
      <c r="A40" s="25"/>
      <c r="B40" s="62" t="s">
        <v>48</v>
      </c>
      <c r="C40" s="61"/>
      <c r="D40" s="63">
        <f>E39+1</f>
        <v>46151</v>
      </c>
      <c r="E40" s="63">
        <f>D40+1</f>
        <v>46152</v>
      </c>
      <c r="F40" s="9"/>
      <c r="G40" s="9"/>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row>
    <row r="41" spans="1:63" s="2" customFormat="1" ht="30" customHeight="1" thickBot="1" x14ac:dyDescent="0.3">
      <c r="A41" s="25" t="s">
        <v>18</v>
      </c>
      <c r="B41" s="62" t="s">
        <v>49</v>
      </c>
      <c r="C41" s="61"/>
      <c r="D41" s="63">
        <f>E40+1</f>
        <v>46153</v>
      </c>
      <c r="E41" s="63">
        <f>D41+3</f>
        <v>46156</v>
      </c>
      <c r="F41" s="9"/>
      <c r="G41" s="9">
        <f t="shared" si="6"/>
        <v>4</v>
      </c>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row>
  </sheetData>
  <mergeCells count="9">
    <mergeCell ref="BE4:BK4"/>
    <mergeCell ref="D3:E3"/>
    <mergeCell ref="H4:N4"/>
    <mergeCell ref="O4:U4"/>
    <mergeCell ref="V4:AB4"/>
    <mergeCell ref="AC4:AI4"/>
    <mergeCell ref="AJ4:AP4"/>
    <mergeCell ref="AQ4:AW4"/>
    <mergeCell ref="AX4:BD4"/>
  </mergeCells>
  <conditionalFormatting sqref="C31:C34 C7:C18">
    <cfRule type="dataBar" priority="43">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H5:BK10 H13:BK18 H12:L12 N12:BK12 H11:M11 O11:BK11 H31:BK40">
    <cfRule type="expression" dxfId="11" priority="62">
      <formula>AND(TODAY()&gt;=H$5,TODAY()&lt;I$5)</formula>
    </cfRule>
  </conditionalFormatting>
  <conditionalFormatting sqref="H7:BK10 H13:BK18 H12:L12 N12:BK12 H11:M11 O11:BK11 H31:BK40">
    <cfRule type="expression" dxfId="10" priority="56">
      <formula>AND(task_start&lt;=H$5,ROUNDDOWN((task_end-task_start+1)*task_progress,0)+task_start-1&gt;=H$5)</formula>
    </cfRule>
    <cfRule type="expression" dxfId="9" priority="57" stopIfTrue="1">
      <formula>AND(task_end&gt;=H$5,task_start&lt;I$5)</formula>
    </cfRule>
  </conditionalFormatting>
  <conditionalFormatting sqref="C19:C20">
    <cfRule type="dataBar" priority="26">
      <dataBar>
        <cfvo type="num" val="0"/>
        <cfvo type="num" val="1"/>
        <color theme="0" tint="-0.249977111117893"/>
      </dataBar>
      <extLst>
        <ext xmlns:x14="http://schemas.microsoft.com/office/spreadsheetml/2009/9/main" uri="{B025F937-C7B1-47D3-B67F-A62EFF666E3E}">
          <x14:id>{1E90BFA6-AA09-4C84-9DA7-1419DF975915}</x14:id>
        </ext>
      </extLst>
    </cfRule>
  </conditionalFormatting>
  <conditionalFormatting sqref="H19:BK30">
    <cfRule type="expression" dxfId="8" priority="29">
      <formula>AND(TODAY()&gt;=H$5,TODAY()&lt;I$5)</formula>
    </cfRule>
  </conditionalFormatting>
  <conditionalFormatting sqref="H19:BK30">
    <cfRule type="expression" dxfId="7" priority="27">
      <formula>AND(task_start&lt;=H$5,ROUNDDOWN((task_end-task_start+1)*task_progress,0)+task_start-1&gt;=H$5)</formula>
    </cfRule>
    <cfRule type="expression" dxfId="6" priority="28" stopIfTrue="1">
      <formula>AND(task_end&gt;=H$5,task_start&lt;I$5)</formula>
    </cfRule>
  </conditionalFormatting>
  <conditionalFormatting sqref="C21">
    <cfRule type="dataBar" priority="25">
      <dataBar>
        <cfvo type="num" val="0"/>
        <cfvo type="num" val="1"/>
        <color theme="0" tint="-0.249977111117893"/>
      </dataBar>
      <extLst>
        <ext xmlns:x14="http://schemas.microsoft.com/office/spreadsheetml/2009/9/main" uri="{B025F937-C7B1-47D3-B67F-A62EFF666E3E}">
          <x14:id>{8B62DB47-8442-45D6-BEC3-74DDF8582AE9}</x14:id>
        </ext>
      </extLst>
    </cfRule>
  </conditionalFormatting>
  <conditionalFormatting sqref="C22">
    <cfRule type="dataBar" priority="24">
      <dataBar>
        <cfvo type="num" val="0"/>
        <cfvo type="num" val="1"/>
        <color theme="0" tint="-0.249977111117893"/>
      </dataBar>
      <extLst>
        <ext xmlns:x14="http://schemas.microsoft.com/office/spreadsheetml/2009/9/main" uri="{B025F937-C7B1-47D3-B67F-A62EFF666E3E}">
          <x14:id>{16F932DB-37BA-4B6F-B3DA-1BF403ECCAFA}</x14:id>
        </ext>
      </extLst>
    </cfRule>
  </conditionalFormatting>
  <conditionalFormatting sqref="C23">
    <cfRule type="dataBar" priority="23">
      <dataBar>
        <cfvo type="num" val="0"/>
        <cfvo type="num" val="1"/>
        <color theme="0" tint="-0.249977111117893"/>
      </dataBar>
      <extLst>
        <ext xmlns:x14="http://schemas.microsoft.com/office/spreadsheetml/2009/9/main" uri="{B025F937-C7B1-47D3-B67F-A62EFF666E3E}">
          <x14:id>{58D685B9-F45B-4170-8504-C6091E7052FA}</x14:id>
        </ext>
      </extLst>
    </cfRule>
  </conditionalFormatting>
  <conditionalFormatting sqref="C24">
    <cfRule type="dataBar" priority="22">
      <dataBar>
        <cfvo type="num" val="0"/>
        <cfvo type="num" val="1"/>
        <color theme="0" tint="-0.249977111117893"/>
      </dataBar>
      <extLst>
        <ext xmlns:x14="http://schemas.microsoft.com/office/spreadsheetml/2009/9/main" uri="{B025F937-C7B1-47D3-B67F-A62EFF666E3E}">
          <x14:id>{78297278-95C1-42FE-9F04-855A3F8B3896}</x14:id>
        </ext>
      </extLst>
    </cfRule>
  </conditionalFormatting>
  <conditionalFormatting sqref="C25">
    <cfRule type="dataBar" priority="21">
      <dataBar>
        <cfvo type="num" val="0"/>
        <cfvo type="num" val="1"/>
        <color theme="0" tint="-0.249977111117893"/>
      </dataBar>
      <extLst>
        <ext xmlns:x14="http://schemas.microsoft.com/office/spreadsheetml/2009/9/main" uri="{B025F937-C7B1-47D3-B67F-A62EFF666E3E}">
          <x14:id>{C76118F8-2A3A-4C74-B114-7608AE5937D7}</x14:id>
        </ext>
      </extLst>
    </cfRule>
  </conditionalFormatting>
  <conditionalFormatting sqref="C26:C27">
    <cfRule type="dataBar" priority="20">
      <dataBar>
        <cfvo type="num" val="0"/>
        <cfvo type="num" val="1"/>
        <color theme="0" tint="-0.249977111117893"/>
      </dataBar>
      <extLst>
        <ext xmlns:x14="http://schemas.microsoft.com/office/spreadsheetml/2009/9/main" uri="{B025F937-C7B1-47D3-B67F-A62EFF666E3E}">
          <x14:id>{07B4BE8A-B3A4-438A-B4C4-1A17594A88C3}</x14:id>
        </ext>
      </extLst>
    </cfRule>
  </conditionalFormatting>
  <conditionalFormatting sqref="C28">
    <cfRule type="dataBar" priority="19">
      <dataBar>
        <cfvo type="num" val="0"/>
        <cfvo type="num" val="1"/>
        <color theme="0" tint="-0.249977111117893"/>
      </dataBar>
      <extLst>
        <ext xmlns:x14="http://schemas.microsoft.com/office/spreadsheetml/2009/9/main" uri="{B025F937-C7B1-47D3-B67F-A62EFF666E3E}">
          <x14:id>{C18933D9-CEAD-4CCF-BC62-D46734FF5524}</x14:id>
        </ext>
      </extLst>
    </cfRule>
  </conditionalFormatting>
  <conditionalFormatting sqref="C29">
    <cfRule type="dataBar" priority="18">
      <dataBar>
        <cfvo type="num" val="0"/>
        <cfvo type="num" val="1"/>
        <color theme="0" tint="-0.249977111117893"/>
      </dataBar>
      <extLst>
        <ext xmlns:x14="http://schemas.microsoft.com/office/spreadsheetml/2009/9/main" uri="{B025F937-C7B1-47D3-B67F-A62EFF666E3E}">
          <x14:id>{6A65D368-5353-4F64-89E1-0CAA4048C318}</x14:id>
        </ext>
      </extLst>
    </cfRule>
  </conditionalFormatting>
  <conditionalFormatting sqref="C30">
    <cfRule type="dataBar" priority="17">
      <dataBar>
        <cfvo type="num" val="0"/>
        <cfvo type="num" val="1"/>
        <color theme="0" tint="-0.249977111117893"/>
      </dataBar>
      <extLst>
        <ext xmlns:x14="http://schemas.microsoft.com/office/spreadsheetml/2009/9/main" uri="{B025F937-C7B1-47D3-B67F-A62EFF666E3E}">
          <x14:id>{7FE6434E-EE80-49B2-A22E-A0B943AAD725}</x14:id>
        </ext>
      </extLst>
    </cfRule>
  </conditionalFormatting>
  <conditionalFormatting sqref="C35">
    <cfRule type="dataBar" priority="9">
      <dataBar>
        <cfvo type="num" val="0"/>
        <cfvo type="num" val="1"/>
        <color theme="0" tint="-0.249977111117893"/>
      </dataBar>
      <extLst>
        <ext xmlns:x14="http://schemas.microsoft.com/office/spreadsheetml/2009/9/main" uri="{B025F937-C7B1-47D3-B67F-A62EFF666E3E}">
          <x14:id>{620CC134-46A1-4F91-A051-9D1345C3FA5D}</x14:id>
        </ext>
      </extLst>
    </cfRule>
  </conditionalFormatting>
  <conditionalFormatting sqref="C36">
    <cfRule type="dataBar" priority="7">
      <dataBar>
        <cfvo type="num" val="0"/>
        <cfvo type="num" val="1"/>
        <color theme="0" tint="-0.249977111117893"/>
      </dataBar>
      <extLst>
        <ext xmlns:x14="http://schemas.microsoft.com/office/spreadsheetml/2009/9/main" uri="{B025F937-C7B1-47D3-B67F-A62EFF666E3E}">
          <x14:id>{2CFE5318-DB6A-49E9-A71F-350550A6317A}</x14:id>
        </ext>
      </extLst>
    </cfRule>
  </conditionalFormatting>
  <conditionalFormatting sqref="C41">
    <cfRule type="dataBar" priority="3">
      <dataBar>
        <cfvo type="num" val="0"/>
        <cfvo type="num" val="1"/>
        <color theme="0" tint="-0.249977111117893"/>
      </dataBar>
      <extLst>
        <ext xmlns:x14="http://schemas.microsoft.com/office/spreadsheetml/2009/9/main" uri="{B025F937-C7B1-47D3-B67F-A62EFF666E3E}">
          <x14:id>{4BA551C2-EE6C-4479-BB90-42C647FFB418}</x14:id>
        </ext>
      </extLst>
    </cfRule>
  </conditionalFormatting>
  <conditionalFormatting sqref="H41:BK41">
    <cfRule type="expression" dxfId="5" priority="6">
      <formula>AND(TODAY()&gt;=H$5,TODAY()&lt;I$5)</formula>
    </cfRule>
  </conditionalFormatting>
  <conditionalFormatting sqref="H41:BK41">
    <cfRule type="expression" dxfId="4" priority="4">
      <formula>AND(task_start&lt;=H$5,ROUNDDOWN((task_end-task_start+1)*task_progress,0)+task_start-1&gt;=H$5)</formula>
    </cfRule>
    <cfRule type="expression" dxfId="3" priority="5" stopIfTrue="1">
      <formula>AND(task_end&gt;=H$5,task_start&lt;I$5)</formula>
    </cfRule>
  </conditionalFormatting>
  <conditionalFormatting sqref="C37">
    <cfRule type="dataBar" priority="2">
      <dataBar>
        <cfvo type="num" val="0"/>
        <cfvo type="num" val="1"/>
        <color theme="0" tint="-0.249977111117893"/>
      </dataBar>
      <extLst>
        <ext xmlns:x14="http://schemas.microsoft.com/office/spreadsheetml/2009/9/main" uri="{B025F937-C7B1-47D3-B67F-A62EFF666E3E}">
          <x14:id>{06F74896-8DFF-43FC-B666-14565B6A7397}</x14:id>
        </ext>
      </extLst>
    </cfRule>
  </conditionalFormatting>
  <conditionalFormatting sqref="C38:C40">
    <cfRule type="dataBar" priority="1">
      <dataBar>
        <cfvo type="num" val="0"/>
        <cfvo type="num" val="1"/>
        <color theme="0" tint="-0.249977111117893"/>
      </dataBar>
      <extLst>
        <ext xmlns:x14="http://schemas.microsoft.com/office/spreadsheetml/2009/9/main" uri="{B025F937-C7B1-47D3-B67F-A62EFF666E3E}">
          <x14:id>{527A852E-2EF7-46F3-8CBA-90E4DD67FCB3}</x14:id>
        </ext>
      </extLst>
    </cfRule>
  </conditionalFormatting>
  <conditionalFormatting sqref="N11">
    <cfRule type="expression" dxfId="2" priority="64">
      <formula>AND(TODAY()&gt;=M$5,TODAY()&lt;N$5)</formula>
    </cfRule>
  </conditionalFormatting>
  <conditionalFormatting sqref="N11">
    <cfRule type="expression" dxfId="1" priority="67">
      <formula>AND(task_start&lt;=M$5,ROUNDDOWN((task_end-task_start+1)*task_progress,0)+task_start-1&gt;=M$5)</formula>
    </cfRule>
    <cfRule type="expression" dxfId="0" priority="68" stopIfTrue="1">
      <formula>AND(task_end&gt;=M$5,task_start&lt;N$5)</formula>
    </cfRule>
  </conditionalFormatting>
  <dataValidations count="1">
    <dataValidation type="whole" operator="greaterThanOrEqual" allowBlank="1" showInputMessage="1" promptTitle="Mostrar semana" prompt="Al cambiar este número, se desplazará la vista del diagrama de Gantt." sqref="D4" xr:uid="{00000000-0002-0000-0000-000000000000}">
      <formula1>1</formula1>
    </dataValidation>
  </dataValidations>
  <printOptions horizontalCentered="1"/>
  <pageMargins left="0.35" right="0.35" top="0.35" bottom="0.5" header="0.3" footer="0.3"/>
  <pageSetup paperSize="9" scale="51"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C31:C34 C7:C18</xm:sqref>
        </x14:conditionalFormatting>
        <x14:conditionalFormatting xmlns:xm="http://schemas.microsoft.com/office/excel/2006/main">
          <x14:cfRule type="dataBar" id="{1E90BFA6-AA09-4C84-9DA7-1419DF975915}">
            <x14:dataBar minLength="0" maxLength="100" gradient="0">
              <x14:cfvo type="num">
                <xm:f>0</xm:f>
              </x14:cfvo>
              <x14:cfvo type="num">
                <xm:f>1</xm:f>
              </x14:cfvo>
              <x14:negativeFillColor rgb="FFFF0000"/>
              <x14:axisColor rgb="FF000000"/>
            </x14:dataBar>
          </x14:cfRule>
          <xm:sqref>C19:C20</xm:sqref>
        </x14:conditionalFormatting>
        <x14:conditionalFormatting xmlns:xm="http://schemas.microsoft.com/office/excel/2006/main">
          <x14:cfRule type="dataBar" id="{8B62DB47-8442-45D6-BEC3-74DDF8582AE9}">
            <x14:dataBar minLength="0" maxLength="100" gradient="0">
              <x14:cfvo type="num">
                <xm:f>0</xm:f>
              </x14:cfvo>
              <x14:cfvo type="num">
                <xm:f>1</xm:f>
              </x14:cfvo>
              <x14:negativeFillColor rgb="FFFF0000"/>
              <x14:axisColor rgb="FF000000"/>
            </x14:dataBar>
          </x14:cfRule>
          <xm:sqref>C21</xm:sqref>
        </x14:conditionalFormatting>
        <x14:conditionalFormatting xmlns:xm="http://schemas.microsoft.com/office/excel/2006/main">
          <x14:cfRule type="dataBar" id="{16F932DB-37BA-4B6F-B3DA-1BF403ECCAFA}">
            <x14:dataBar minLength="0" maxLength="100" gradient="0">
              <x14:cfvo type="num">
                <xm:f>0</xm:f>
              </x14:cfvo>
              <x14:cfvo type="num">
                <xm:f>1</xm:f>
              </x14:cfvo>
              <x14:negativeFillColor rgb="FFFF0000"/>
              <x14:axisColor rgb="FF000000"/>
            </x14:dataBar>
          </x14:cfRule>
          <xm:sqref>C22</xm:sqref>
        </x14:conditionalFormatting>
        <x14:conditionalFormatting xmlns:xm="http://schemas.microsoft.com/office/excel/2006/main">
          <x14:cfRule type="dataBar" id="{58D685B9-F45B-4170-8504-C6091E7052FA}">
            <x14:dataBar minLength="0" maxLength="100" gradient="0">
              <x14:cfvo type="num">
                <xm:f>0</xm:f>
              </x14:cfvo>
              <x14:cfvo type="num">
                <xm:f>1</xm:f>
              </x14:cfvo>
              <x14:negativeFillColor rgb="FFFF0000"/>
              <x14:axisColor rgb="FF000000"/>
            </x14:dataBar>
          </x14:cfRule>
          <xm:sqref>C23</xm:sqref>
        </x14:conditionalFormatting>
        <x14:conditionalFormatting xmlns:xm="http://schemas.microsoft.com/office/excel/2006/main">
          <x14:cfRule type="dataBar" id="{78297278-95C1-42FE-9F04-855A3F8B3896}">
            <x14:dataBar minLength="0" maxLength="100" gradient="0">
              <x14:cfvo type="num">
                <xm:f>0</xm:f>
              </x14:cfvo>
              <x14:cfvo type="num">
                <xm:f>1</xm:f>
              </x14:cfvo>
              <x14:negativeFillColor rgb="FFFF0000"/>
              <x14:axisColor rgb="FF000000"/>
            </x14:dataBar>
          </x14:cfRule>
          <xm:sqref>C24</xm:sqref>
        </x14:conditionalFormatting>
        <x14:conditionalFormatting xmlns:xm="http://schemas.microsoft.com/office/excel/2006/main">
          <x14:cfRule type="dataBar" id="{C76118F8-2A3A-4C74-B114-7608AE5937D7}">
            <x14:dataBar minLength="0" maxLength="100" gradient="0">
              <x14:cfvo type="num">
                <xm:f>0</xm:f>
              </x14:cfvo>
              <x14:cfvo type="num">
                <xm:f>1</xm:f>
              </x14:cfvo>
              <x14:negativeFillColor rgb="FFFF0000"/>
              <x14:axisColor rgb="FF000000"/>
            </x14:dataBar>
          </x14:cfRule>
          <xm:sqref>C25</xm:sqref>
        </x14:conditionalFormatting>
        <x14:conditionalFormatting xmlns:xm="http://schemas.microsoft.com/office/excel/2006/main">
          <x14:cfRule type="dataBar" id="{07B4BE8A-B3A4-438A-B4C4-1A17594A88C3}">
            <x14:dataBar minLength="0" maxLength="100" gradient="0">
              <x14:cfvo type="num">
                <xm:f>0</xm:f>
              </x14:cfvo>
              <x14:cfvo type="num">
                <xm:f>1</xm:f>
              </x14:cfvo>
              <x14:negativeFillColor rgb="FFFF0000"/>
              <x14:axisColor rgb="FF000000"/>
            </x14:dataBar>
          </x14:cfRule>
          <xm:sqref>C26:C27</xm:sqref>
        </x14:conditionalFormatting>
        <x14:conditionalFormatting xmlns:xm="http://schemas.microsoft.com/office/excel/2006/main">
          <x14:cfRule type="dataBar" id="{C18933D9-CEAD-4CCF-BC62-D46734FF5524}">
            <x14:dataBar minLength="0" maxLength="100" gradient="0">
              <x14:cfvo type="num">
                <xm:f>0</xm:f>
              </x14:cfvo>
              <x14:cfvo type="num">
                <xm:f>1</xm:f>
              </x14:cfvo>
              <x14:negativeFillColor rgb="FFFF0000"/>
              <x14:axisColor rgb="FF000000"/>
            </x14:dataBar>
          </x14:cfRule>
          <xm:sqref>C28</xm:sqref>
        </x14:conditionalFormatting>
        <x14:conditionalFormatting xmlns:xm="http://schemas.microsoft.com/office/excel/2006/main">
          <x14:cfRule type="dataBar" id="{6A65D368-5353-4F64-89E1-0CAA4048C318}">
            <x14:dataBar minLength="0" maxLength="100" gradient="0">
              <x14:cfvo type="num">
                <xm:f>0</xm:f>
              </x14:cfvo>
              <x14:cfvo type="num">
                <xm:f>1</xm:f>
              </x14:cfvo>
              <x14:negativeFillColor rgb="FFFF0000"/>
              <x14:axisColor rgb="FF000000"/>
            </x14:dataBar>
          </x14:cfRule>
          <xm:sqref>C29</xm:sqref>
        </x14:conditionalFormatting>
        <x14:conditionalFormatting xmlns:xm="http://schemas.microsoft.com/office/excel/2006/main">
          <x14:cfRule type="dataBar" id="{7FE6434E-EE80-49B2-A22E-A0B943AAD725}">
            <x14:dataBar minLength="0" maxLength="100" gradient="0">
              <x14:cfvo type="num">
                <xm:f>0</xm:f>
              </x14:cfvo>
              <x14:cfvo type="num">
                <xm:f>1</xm:f>
              </x14:cfvo>
              <x14:negativeFillColor rgb="FFFF0000"/>
              <x14:axisColor rgb="FF000000"/>
            </x14:dataBar>
          </x14:cfRule>
          <xm:sqref>C30</xm:sqref>
        </x14:conditionalFormatting>
        <x14:conditionalFormatting xmlns:xm="http://schemas.microsoft.com/office/excel/2006/main">
          <x14:cfRule type="dataBar" id="{620CC134-46A1-4F91-A051-9D1345C3FA5D}">
            <x14:dataBar minLength="0" maxLength="100" gradient="0">
              <x14:cfvo type="num">
                <xm:f>0</xm:f>
              </x14:cfvo>
              <x14:cfvo type="num">
                <xm:f>1</xm:f>
              </x14:cfvo>
              <x14:negativeFillColor rgb="FFFF0000"/>
              <x14:axisColor rgb="FF000000"/>
            </x14:dataBar>
          </x14:cfRule>
          <xm:sqref>C35</xm:sqref>
        </x14:conditionalFormatting>
        <x14:conditionalFormatting xmlns:xm="http://schemas.microsoft.com/office/excel/2006/main">
          <x14:cfRule type="dataBar" id="{2CFE5318-DB6A-49E9-A71F-350550A6317A}">
            <x14:dataBar minLength="0" maxLength="100" gradient="0">
              <x14:cfvo type="num">
                <xm:f>0</xm:f>
              </x14:cfvo>
              <x14:cfvo type="num">
                <xm:f>1</xm:f>
              </x14:cfvo>
              <x14:negativeFillColor rgb="FFFF0000"/>
              <x14:axisColor rgb="FF000000"/>
            </x14:dataBar>
          </x14:cfRule>
          <xm:sqref>C36</xm:sqref>
        </x14:conditionalFormatting>
        <x14:conditionalFormatting xmlns:xm="http://schemas.microsoft.com/office/excel/2006/main">
          <x14:cfRule type="dataBar" id="{4BA551C2-EE6C-4479-BB90-42C647FFB418}">
            <x14:dataBar minLength="0" maxLength="100" gradient="0">
              <x14:cfvo type="num">
                <xm:f>0</xm:f>
              </x14:cfvo>
              <x14:cfvo type="num">
                <xm:f>1</xm:f>
              </x14:cfvo>
              <x14:negativeFillColor rgb="FFFF0000"/>
              <x14:axisColor rgb="FF000000"/>
            </x14:dataBar>
          </x14:cfRule>
          <xm:sqref>C41</xm:sqref>
        </x14:conditionalFormatting>
        <x14:conditionalFormatting xmlns:xm="http://schemas.microsoft.com/office/excel/2006/main">
          <x14:cfRule type="dataBar" id="{06F74896-8DFF-43FC-B666-14565B6A7397}">
            <x14:dataBar minLength="0" maxLength="100" gradient="0">
              <x14:cfvo type="num">
                <xm:f>0</xm:f>
              </x14:cfvo>
              <x14:cfvo type="num">
                <xm:f>1</xm:f>
              </x14:cfvo>
              <x14:negativeFillColor rgb="FFFF0000"/>
              <x14:axisColor rgb="FF000000"/>
            </x14:dataBar>
          </x14:cfRule>
          <xm:sqref>C37</xm:sqref>
        </x14:conditionalFormatting>
        <x14:conditionalFormatting xmlns:xm="http://schemas.microsoft.com/office/excel/2006/main">
          <x14:cfRule type="dataBar" id="{527A852E-2EF7-46F3-8CBA-90E4DD67FCB3}">
            <x14:dataBar minLength="0" maxLength="100" gradient="0">
              <x14:cfvo type="num">
                <xm:f>0</xm:f>
              </x14:cfvo>
              <x14:cfvo type="num">
                <xm:f>1</xm:f>
              </x14:cfvo>
              <x14:negativeFillColor rgb="FFFF0000"/>
              <x14:axisColor rgb="FF000000"/>
            </x14:dataBar>
          </x14:cfRule>
          <xm:sqref>C38:C40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44944C-1F1D-4162-962A-96F3FC8455D8}">
  <ds:schemaRefs>
    <ds:schemaRef ds:uri="http://www.w3.org/XML/1998/namespace"/>
    <ds:schemaRef ds:uri="http://schemas.microsoft.com/office/2006/metadata/properties"/>
    <ds:schemaRef ds:uri="16c05727-aa75-4e4a-9b5f-8a80a1165891"/>
    <ds:schemaRef ds:uri="71af3243-3dd4-4a8d-8c0d-dd76da1f02a5"/>
    <ds:schemaRef ds:uri="http://purl.org/dc/elements/1.1/"/>
    <ds:schemaRef ds:uri="http://schemas.openxmlformats.org/package/2006/metadata/core-properties"/>
    <ds:schemaRef ds:uri="http://schemas.microsoft.com/sharepoint/v3"/>
    <ds:schemaRef ds:uri="http://schemas.microsoft.com/office/2006/documentManagement/types"/>
    <ds:schemaRef ds:uri="http://purl.org/dc/terms/"/>
    <ds:schemaRef ds:uri="http://schemas.microsoft.com/office/infopath/2007/PartnerControls"/>
    <ds:schemaRef ds:uri="230e9df3-be65-4c73-a93b-d1236ebd677e"/>
    <ds:schemaRef ds:uri="http://purl.org/dc/dcmitype/"/>
  </ds:schemaRefs>
</ds:datastoreItem>
</file>

<file path=customXml/itemProps2.xml><?xml version="1.0" encoding="utf-8"?>
<ds:datastoreItem xmlns:ds="http://schemas.openxmlformats.org/officeDocument/2006/customXml" ds:itemID="{8FE8ED85-58B3-4608-8E91-0433556D50CE}">
  <ds:schemaRefs>
    <ds:schemaRef ds:uri="http://schemas.microsoft.com/sharepoint/v3/contenttype/forms"/>
  </ds:schemaRefs>
</ds:datastoreItem>
</file>

<file path=customXml/itemProps3.xml><?xml version="1.0" encoding="utf-8"?>
<ds:datastoreItem xmlns:ds="http://schemas.openxmlformats.org/officeDocument/2006/customXml" ds:itemID="{708DBB9E-6D89-4A94-9DC5-964B7833E1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6</vt:i4>
      </vt:variant>
    </vt:vector>
  </HeadingPairs>
  <TitlesOfParts>
    <vt:vector size="7" baseType="lpstr">
      <vt:lpstr>ProjectSchedule</vt:lpstr>
      <vt:lpstr>Inicio_del_proyecto</vt:lpstr>
      <vt:lpstr>Semana_para_mostrar</vt:lpstr>
      <vt:lpstr>ProjectSchedule!task_end</vt:lpstr>
      <vt:lpstr>ProjectSchedule!task_progress</vt:lpstr>
      <vt:lpstr>ProjectSchedule!task_start</vt:lpstr>
      <vt:lpstr>ProjectSchedule!Títulos_a_imprimir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2026-04-01T12:09:10Z</dcterms:created>
  <dcterms:modified xsi:type="dcterms:W3CDTF">2026-04-30T12:39:40Z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